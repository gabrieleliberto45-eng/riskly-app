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olatore" sheetId="1" state="visible" r:id="rId1"/>
    <sheet xmlns:r="http://schemas.openxmlformats.org/officeDocument/2006/relationships" name="Tabelle di riferi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101014"/>
      <sz val="14"/>
    </font>
    <font>
      <b val="1"/>
      <color rgb="00FFFFFF"/>
      <sz val="12"/>
    </font>
    <font>
      <color rgb="00FFFFFF"/>
      <sz val="11"/>
    </font>
    <font>
      <b val="1"/>
      <color rgb="00E8C547"/>
      <sz val="11"/>
    </font>
    <font>
      <i val="1"/>
      <color rgb="009AA0A6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8C547"/>
      </patternFill>
    </fill>
    <fill>
      <patternFill patternType="solid">
        <fgColor rgb="00101014"/>
      </patternFill>
    </fill>
    <fill>
      <patternFill patternType="solid">
        <fgColor rgb="002A2A30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5" fillId="0" borderId="1" pivotButton="0" quotePrefix="0" xfId="0"/>
    <xf numFmtId="164" fontId="4" fillId="4" borderId="1" pivotButton="0" quotePrefix="0" xfId="0"/>
    <xf numFmtId="165" fontId="4" fillId="4" borderId="1" pivotButton="0" quotePrefix="0" xfId="0"/>
    <xf numFmtId="2" fontId="4" fillId="4" borderId="1" pivotButton="0" quotePrefix="0" xfId="0"/>
    <xf numFmtId="1" fontId="4" fillId="4" borderId="1" pivotButton="0" quotePrefix="0" xfId="0"/>
    <xf numFmtId="0" fontId="6" fillId="0" borderId="1" pivotButton="0" quotePrefix="0" xfId="0"/>
    <xf numFmtId="9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 outlineLevelCol="0"/>
  <cols>
    <col width="38" customWidth="1" min="1" max="1"/>
    <col width="14" customWidth="1" min="2" max="2"/>
    <col width="18" customWidth="1" min="3" max="3"/>
    <col width="10" customWidth="1" min="4" max="4"/>
    <col width="10" customWidth="1" min="5" max="5"/>
  </cols>
  <sheetData>
    <row r="1" ht="26" customHeight="1">
      <c r="A1" s="1" t="inlineStr">
        <is>
          <t>RISKLY — CALCOLATORE R · EXPECTANCY · PROFIT FACTOR</t>
        </is>
      </c>
    </row>
    <row r="2">
      <c r="A2" s="2" t="inlineStr">
        <is>
          <t>INPUT</t>
        </is>
      </c>
      <c r="B2" s="12" t="n"/>
      <c r="C2" s="13" t="n"/>
    </row>
    <row r="3">
      <c r="A3" s="3" t="inlineStr">
        <is>
          <t>Capitale del conto (€)</t>
        </is>
      </c>
      <c r="B3" s="4" t="n">
        <v>10000</v>
      </c>
      <c r="C3" s="5" t="inlineStr">
        <is>
          <t>inserisci</t>
        </is>
      </c>
      <c r="D3" s="12" t="n"/>
      <c r="E3" s="13" t="n"/>
    </row>
    <row r="4">
      <c r="A4" s="3" t="inlineStr">
        <is>
          <t>Rischio per trade (%)</t>
        </is>
      </c>
      <c r="B4" s="6" t="n">
        <v>0.01</v>
      </c>
      <c r="C4" s="5" t="inlineStr">
        <is>
          <t>inserisci</t>
        </is>
      </c>
      <c r="D4" s="12" t="n"/>
      <c r="E4" s="13" t="n"/>
    </row>
    <row r="5">
      <c r="A5" s="3" t="inlineStr">
        <is>
          <t>Win rate (%)</t>
        </is>
      </c>
      <c r="B5" s="6" t="n">
        <v>0.45</v>
      </c>
      <c r="C5" s="5" t="inlineStr">
        <is>
          <t>inserisci</t>
        </is>
      </c>
      <c r="D5" s="12" t="n"/>
      <c r="E5" s="13" t="n"/>
    </row>
    <row r="6">
      <c r="A6" s="3" t="inlineStr">
        <is>
          <t>Vincita media (R)</t>
        </is>
      </c>
      <c r="B6" s="7" t="n">
        <v>1.8</v>
      </c>
      <c r="C6" s="5" t="inlineStr">
        <is>
          <t>inserisci</t>
        </is>
      </c>
      <c r="D6" s="12" t="n"/>
      <c r="E6" s="13" t="n"/>
    </row>
    <row r="7">
      <c r="A7" s="3" t="inlineStr">
        <is>
          <t>Perdita media (R)</t>
        </is>
      </c>
      <c r="B7" s="7" t="n">
        <v>1</v>
      </c>
      <c r="C7" s="5" t="inlineStr">
        <is>
          <t>inserisci</t>
        </is>
      </c>
      <c r="D7" s="12" t="n"/>
      <c r="E7" s="13" t="n"/>
    </row>
    <row r="8">
      <c r="A8" s="3" t="inlineStr"/>
      <c r="B8" s="4" t="inlineStr"/>
      <c r="C8" s="5" t="inlineStr"/>
      <c r="D8" s="12" t="n"/>
      <c r="E8" s="13" t="n"/>
    </row>
    <row r="9">
      <c r="A9" s="2" t="inlineStr">
        <is>
          <t>OUTPUT</t>
        </is>
      </c>
      <c r="B9" s="12" t="n"/>
      <c r="C9" s="13" t="n"/>
    </row>
    <row r="10">
      <c r="A10" s="3" t="inlineStr">
        <is>
          <t>1R in €</t>
        </is>
      </c>
      <c r="B10" s="8">
        <f>B3*B4</f>
        <v/>
      </c>
      <c r="C10" s="5" t="inlineStr">
        <is>
          <t>automatico</t>
        </is>
      </c>
      <c r="D10" s="12" t="n"/>
      <c r="E10" s="13" t="n"/>
    </row>
    <row r="11">
      <c r="A11" s="3" t="inlineStr">
        <is>
          <t>Expectancy (R)</t>
        </is>
      </c>
      <c r="B11" s="8">
        <f>B5*B6-(1-B5)*B7</f>
        <v/>
      </c>
      <c r="C11" s="5" t="inlineStr">
        <is>
          <t>automatico</t>
        </is>
      </c>
      <c r="D11" s="12" t="n"/>
      <c r="E11" s="13" t="n"/>
    </row>
    <row r="12">
      <c r="A12" s="3" t="inlineStr">
        <is>
          <t>Expectancy in €</t>
        </is>
      </c>
      <c r="B12" s="8">
        <f>B10*B11</f>
        <v/>
      </c>
      <c r="C12" s="5" t="inlineStr">
        <is>
          <t>automatico</t>
        </is>
      </c>
      <c r="D12" s="12" t="n"/>
      <c r="E12" s="13" t="n"/>
    </row>
    <row r="13">
      <c r="A13" s="3" t="inlineStr">
        <is>
          <t>Profit factor</t>
        </is>
      </c>
      <c r="B13" s="8">
        <f>IF((1-B5)*B7=0,"n/d",B5*B6/((1-B5)*B7))</f>
        <v/>
      </c>
      <c r="C13" s="5" t="inlineStr">
        <is>
          <t>automatico</t>
        </is>
      </c>
      <c r="D13" s="12" t="n"/>
      <c r="E13" s="13" t="n"/>
    </row>
    <row r="14">
      <c r="A14" s="3" t="inlineStr">
        <is>
          <t>Su 100 trade (€)</t>
        </is>
      </c>
      <c r="B14" s="9">
        <f>B12*100</f>
        <v/>
      </c>
      <c r="C14" s="5" t="inlineStr">
        <is>
          <t>automatico</t>
        </is>
      </c>
      <c r="D14" s="12" t="n"/>
      <c r="E14" s="13" t="n"/>
    </row>
    <row r="15">
      <c r="A15" s="3" t="inlineStr">
        <is>
          <t>Su 200 trade (€)</t>
        </is>
      </c>
      <c r="B15" s="9">
        <f>B12*200</f>
        <v/>
      </c>
      <c r="C15" s="5" t="inlineStr">
        <is>
          <t>automatico</t>
        </is>
      </c>
      <c r="D15" s="12" t="n"/>
      <c r="E15" s="13" t="n"/>
    </row>
    <row r="16">
      <c r="A16" s="3" t="inlineStr"/>
      <c r="B16" s="4" t="inlineStr"/>
      <c r="C16" s="5" t="inlineStr"/>
      <c r="D16" s="12" t="n"/>
      <c r="E16" s="13" t="n"/>
    </row>
    <row r="17">
      <c r="A17" s="3" t="inlineStr">
        <is>
          <t>Verifica PF: &lt;1 = perdi · 1.3-1.6 = zona sana · &gt;2 su backtest = overfitting</t>
        </is>
      </c>
      <c r="B17" s="4" t="inlineStr"/>
      <c r="C17" s="5" t="inlineStr"/>
      <c r="D17" s="12" t="n"/>
      <c r="E17" s="13" t="n"/>
    </row>
  </sheetData>
  <mergeCells count="17">
    <mergeCell ref="C16:E16"/>
    <mergeCell ref="C11:E11"/>
    <mergeCell ref="C14:E14"/>
    <mergeCell ref="C5:E5"/>
    <mergeCell ref="C13:E13"/>
    <mergeCell ref="C8:E8"/>
    <mergeCell ref="C4:E4"/>
    <mergeCell ref="A9:C9"/>
    <mergeCell ref="A1:E1"/>
    <mergeCell ref="C3:E3"/>
    <mergeCell ref="C17:E17"/>
    <mergeCell ref="C7:E7"/>
    <mergeCell ref="C15:E15"/>
    <mergeCell ref="C12:E12"/>
    <mergeCell ref="A2:C2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20" customWidth="1" min="2" max="2"/>
    <col width="4" customWidth="1" min="3" max="3"/>
    <col width="12" customWidth="1" min="4" max="4"/>
    <col width="24" customWidth="1" min="5" max="5"/>
  </cols>
  <sheetData>
    <row r="1" ht="26" customHeight="1">
      <c r="A1" s="1" t="inlineStr">
        <is>
          <t>DRAWDOWN: RECUPERO NECESSARIO · STREAK ATTESA (200 trade)</t>
        </is>
      </c>
    </row>
    <row r="2">
      <c r="A2" s="2" t="inlineStr">
        <is>
          <t>Perdita</t>
        </is>
      </c>
      <c r="B2" s="2" t="inlineStr">
        <is>
          <t>Recupero richiesto</t>
        </is>
      </c>
      <c r="D2" s="2" t="inlineStr">
        <is>
          <t>Win rate</t>
        </is>
      </c>
      <c r="E2" s="2" t="inlineStr">
        <is>
          <t>Max losing streak attesa</t>
        </is>
      </c>
    </row>
    <row r="3">
      <c r="A3" s="3" t="inlineStr">
        <is>
          <t>−10%</t>
        </is>
      </c>
      <c r="B3" s="10" t="inlineStr">
        <is>
          <t>+11.1%</t>
        </is>
      </c>
      <c r="D3" s="11" t="n">
        <v>0.35</v>
      </c>
      <c r="E3" s="10" t="inlineStr">
        <is>
          <t>~10</t>
        </is>
      </c>
    </row>
    <row r="4">
      <c r="A4" s="3" t="inlineStr">
        <is>
          <t>−20%</t>
        </is>
      </c>
      <c r="B4" s="10" t="inlineStr">
        <is>
          <t>+25%</t>
        </is>
      </c>
      <c r="D4" s="11" t="n">
        <v>0.4</v>
      </c>
      <c r="E4" s="10" t="inlineStr">
        <is>
          <t>~9</t>
        </is>
      </c>
    </row>
    <row r="5">
      <c r="A5" s="3" t="inlineStr">
        <is>
          <t>−30%</t>
        </is>
      </c>
      <c r="B5" s="10" t="inlineStr">
        <is>
          <t>+42.9%</t>
        </is>
      </c>
      <c r="D5" s="11" t="n">
        <v>0.45</v>
      </c>
      <c r="E5" s="10" t="inlineStr">
        <is>
          <t>~8-9</t>
        </is>
      </c>
    </row>
    <row r="6">
      <c r="A6" s="3" t="inlineStr">
        <is>
          <t>−40%</t>
        </is>
      </c>
      <c r="B6" s="10" t="inlineStr">
        <is>
          <t>+66.7%</t>
        </is>
      </c>
      <c r="D6" s="11" t="n">
        <v>0.5</v>
      </c>
      <c r="E6" s="10" t="inlineStr">
        <is>
          <t>~7</t>
        </is>
      </c>
    </row>
    <row r="7">
      <c r="A7" s="3" t="inlineStr">
        <is>
          <t>−50%</t>
        </is>
      </c>
      <c r="B7" s="10" t="inlineStr">
        <is>
          <t>+100%</t>
        </is>
      </c>
      <c r="D7" s="11" t="n">
        <v>0.55</v>
      </c>
      <c r="E7" s="10" t="inlineStr">
        <is>
          <t>~6</t>
        </is>
      </c>
    </row>
    <row r="8">
      <c r="A8" s="3" t="inlineStr">
        <is>
          <t>−60%</t>
        </is>
      </c>
      <c r="B8" s="10" t="inlineStr">
        <is>
          <t>+150%</t>
        </is>
      </c>
      <c r="D8" s="11" t="n">
        <v>0.6</v>
      </c>
      <c r="E8" s="10" t="inlineStr">
        <is>
          <t>~5</t>
        </is>
      </c>
    </row>
    <row r="9">
      <c r="A9" s="3" t="inlineStr">
        <is>
          <t>−70%</t>
        </is>
      </c>
      <c r="B9" s="10" t="inlineStr">
        <is>
          <t>+233%</t>
        </is>
      </c>
    </row>
    <row r="10">
      <c r="A10" s="3" t="inlineStr">
        <is>
          <t>−80%</t>
        </is>
      </c>
      <c r="B10" s="10" t="inlineStr">
        <is>
          <t>+400%</t>
        </is>
      </c>
    </row>
    <row r="11">
      <c r="A11" s="3" t="inlineStr">
        <is>
          <t>−90%</t>
        </is>
      </c>
      <c r="B11" s="10" t="inlineStr">
        <is>
          <t>+900%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2026-09-25T06:56:22Z</dcterms:created>
  <dcterms:modified xmlns:dcterms="http://purl.org/dc/terms/" xmlns:xsi="http://www.w3.org/2001/XMLSchema-instance" xsi:type="dcterms:W3CDTF">2026-10-03T04:51:40Z</dcterms:modified>
</cp:coreProperties>
</file>