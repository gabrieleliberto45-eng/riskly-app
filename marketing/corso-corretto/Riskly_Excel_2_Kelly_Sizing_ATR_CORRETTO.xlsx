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lly + Sizing A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101014"/>
      <sz val="14"/>
    </font>
    <font>
      <b val="1"/>
      <color rgb="00FFFFFF"/>
      <sz val="12"/>
    </font>
    <font>
      <color rgb="00FFFFFF"/>
      <sz val="11"/>
    </font>
    <font>
      <b val="1"/>
      <color rgb="00E8C547"/>
      <sz val="11"/>
    </font>
  </fonts>
  <fills count="5">
    <fill>
      <patternFill/>
    </fill>
    <fill>
      <patternFill patternType="gray125"/>
    </fill>
    <fill>
      <patternFill patternType="solid">
        <fgColor rgb="00E8C547"/>
      </patternFill>
    </fill>
    <fill>
      <patternFill patternType="solid">
        <fgColor rgb="00101014"/>
      </patternFill>
    </fill>
    <fill>
      <patternFill patternType="solid">
        <fgColor rgb="002A2A30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0" borderId="1" pivotButton="0" quotePrefix="0" xfId="0"/>
    <xf numFmtId="164" fontId="4" fillId="4" borderId="1" pivotButton="0" quotePrefix="0" xfId="0"/>
    <xf numFmtId="165" fontId="4" fillId="4" borderId="1" pivotButton="0" quotePrefix="0" xfId="0"/>
    <xf numFmtId="1" fontId="4" fillId="4" borderId="1" pivotButton="0" quotePrefix="0" xfId="0"/>
    <xf numFmtId="2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 ht="26" customHeight="1">
      <c r="A1" s="1" t="inlineStr">
        <is>
          <t>RISKLY — KELLY (SOFFITTO) · SIZING ATR</t>
        </is>
      </c>
    </row>
    <row r="2">
      <c r="A2" s="2" t="inlineStr">
        <is>
          <t>KELLY</t>
        </is>
      </c>
      <c r="B2" s="8" t="n"/>
      <c r="C2" s="8" t="n"/>
      <c r="D2" s="8" t="n"/>
      <c r="E2" s="8" t="n"/>
      <c r="F2" s="9" t="n"/>
    </row>
    <row r="3">
      <c r="A3" s="3" t="inlineStr">
        <is>
          <t>Win rate (%)</t>
        </is>
      </c>
      <c r="B3" s="4" t="n">
        <v>0.45</v>
      </c>
    </row>
    <row r="4">
      <c r="A4" s="3" t="inlineStr">
        <is>
          <t>Rapporto vincita/perdita (R)</t>
        </is>
      </c>
      <c r="B4" s="5" t="n">
        <v>1.8</v>
      </c>
    </row>
    <row r="5">
      <c r="A5" s="3" t="inlineStr">
        <is>
          <t>Kelly pieno</t>
        </is>
      </c>
      <c r="B5" s="4">
        <f>B3-(1-B3)/B4</f>
        <v/>
      </c>
    </row>
    <row r="6">
      <c r="A6" s="3" t="inlineStr">
        <is>
          <t>¼ Kelly (soffitto pratico)</t>
        </is>
      </c>
      <c r="B6" s="4">
        <f>B5/4</f>
        <v/>
      </c>
    </row>
    <row r="7">
      <c r="A7" s="2" t="inlineStr">
        <is>
          <t>Nota: il rischio base del corso è 1% — Kelly è un soffitto, non un obiettivo.</t>
        </is>
      </c>
      <c r="B7" s="8" t="n"/>
      <c r="C7" s="8" t="n"/>
      <c r="D7" s="8" t="n"/>
      <c r="E7" s="8" t="n"/>
      <c r="F7" s="9" t="n"/>
    </row>
    <row r="8">
      <c r="A8" s="2" t="inlineStr"/>
      <c r="B8" s="8" t="n"/>
      <c r="C8" s="8" t="n"/>
      <c r="D8" s="8" t="n"/>
      <c r="E8" s="8" t="n"/>
      <c r="F8" s="9" t="n"/>
    </row>
    <row r="9">
      <c r="A9" s="2" t="inlineStr">
        <is>
          <t>SIZING ATR</t>
        </is>
      </c>
      <c r="B9" s="8" t="n"/>
      <c r="C9" s="8" t="n"/>
      <c r="D9" s="8" t="n"/>
      <c r="E9" s="8" t="n"/>
      <c r="F9" s="9" t="n"/>
    </row>
    <row r="10">
      <c r="A10" s="3" t="inlineStr">
        <is>
          <t>Capitale (€)</t>
        </is>
      </c>
      <c r="B10" s="6" t="n">
        <v>10000</v>
      </c>
    </row>
    <row r="11">
      <c r="A11" s="3" t="inlineStr">
        <is>
          <t>Rischio (%)</t>
        </is>
      </c>
      <c r="B11" s="4" t="n">
        <v>0.01</v>
      </c>
    </row>
    <row r="12">
      <c r="A12" s="3" t="inlineStr">
        <is>
          <t>ATR(14) in pip</t>
        </is>
      </c>
      <c r="B12" s="6" t="n">
        <v>20</v>
      </c>
    </row>
    <row r="13">
      <c r="A13" s="3" t="inlineStr">
        <is>
          <t>Moltiplicatore stop (k)</t>
        </is>
      </c>
      <c r="B13" s="6" t="n">
        <v>2</v>
      </c>
    </row>
    <row r="14">
      <c r="A14" s="3" t="inlineStr">
        <is>
          <t>Valore pip per lotto (€)</t>
        </is>
      </c>
      <c r="B14" s="7" t="n">
        <v>10</v>
      </c>
    </row>
    <row r="15">
      <c r="A15" s="3" t="inlineStr">
        <is>
          <t>Stop in pip</t>
        </is>
      </c>
      <c r="B15" s="6">
        <f>B13*B12</f>
        <v/>
      </c>
    </row>
    <row r="16">
      <c r="A16" s="3" t="inlineStr">
        <is>
          <t>Rischio in €</t>
        </is>
      </c>
      <c r="B16" s="7">
        <f>B10*B11</f>
        <v/>
      </c>
    </row>
    <row r="17">
      <c r="A17" s="3" t="inlineStr">
        <is>
          <t>Lotti</t>
        </is>
      </c>
      <c r="B17" s="7">
        <f>B16/(B15*B14)</f>
        <v/>
      </c>
    </row>
    <row r="18">
      <c r="A18" s="2" t="inlineStr">
        <is>
          <t>Regola: il rischio resta fisso in € — alla volatilità si adatta la posizione, non il rischio.</t>
        </is>
      </c>
      <c r="B18" s="8" t="n"/>
      <c r="C18" s="8" t="n"/>
      <c r="D18" s="8" t="n"/>
      <c r="E18" s="8" t="n"/>
      <c r="F18" s="9" t="n"/>
    </row>
  </sheetData>
  <mergeCells count="6">
    <mergeCell ref="A2:F2"/>
    <mergeCell ref="A1:F1"/>
    <mergeCell ref="A9:F9"/>
    <mergeCell ref="A8:F8"/>
    <mergeCell ref="A18:F18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2026-09-25T06:56:22Z</dcterms:created>
  <dcterms:modified xmlns:dcterms="http://purl.org/dc/terms/" xmlns:xsi="http://www.w3.org/2001/XMLSchema-instance" xsi:type="dcterms:W3CDTF">2026-10-03T04:51:40Z</dcterms:modified>
</cp:coreProperties>
</file>