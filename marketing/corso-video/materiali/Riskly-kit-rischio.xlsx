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Calcolatore lotto" sheetId="2" state="visible" r:id="rId2"/>
    <sheet xmlns:r="http://schemas.openxmlformats.org/officeDocument/2006/relationships" name="Piano di rischio" sheetId="3" state="visible" r:id="rId3"/>
    <sheet xmlns:r="http://schemas.openxmlformats.org/officeDocument/2006/relationships" name="Recupero drawdown" sheetId="4" state="visible" r:id="rId4"/>
    <sheet xmlns:r="http://schemas.openxmlformats.org/officeDocument/2006/relationships" name="Serie di perdite" sheetId="5" state="visible" r:id="rId5"/>
    <sheet xmlns:r="http://schemas.openxmlformats.org/officeDocument/2006/relationships" name="Expectancy" sheetId="6" state="visible" r:id="rId6"/>
    <sheet xmlns:r="http://schemas.openxmlformats.org/officeDocument/2006/relationships" name="Jour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 &quot;€&quot;;-#,##0 &quot;€&quot;;&quot;-&quot;"/>
    <numFmt numFmtId="165" formatCode="0.0"/>
    <numFmt numFmtId="166" formatCode="#,##0.00 &quot;€&quot;;-#,##0.00 &quot;€&quot;;&quot;-&quot;"/>
    <numFmt numFmtId="167" formatCode="0.0000"/>
    <numFmt numFmtId="168" formatCode="0.0%"/>
    <numFmt numFmtId="169" formatCode="+0.00;-0.00;0.00"/>
    <numFmt numFmtId="170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B97C00"/>
      <sz val="16"/>
    </font>
    <font>
      <name val="Arial"/>
      <i val="1"/>
      <color rgb="00666666"/>
      <sz val="10"/>
    </font>
    <font>
      <name val="Arial"/>
      <b val="1"/>
      <sz val="10"/>
    </font>
    <font>
      <name val="Arial"/>
      <b val="1"/>
      <color rgb="000000FF"/>
      <sz val="10"/>
    </font>
    <font>
      <name val="Arial"/>
      <b val="1"/>
      <color rgb="0015181B"/>
      <sz val="10"/>
    </font>
    <font>
      <name val="Arial"/>
      <sz val="10"/>
    </font>
    <font>
      <name val="Arial"/>
      <b val="1"/>
      <color rgb="00B97C00"/>
      <sz val="13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4B0"/>
      </patternFill>
    </fill>
    <fill>
      <patternFill patternType="solid">
        <fgColor rgb="00EEF0EC"/>
      </patternFill>
    </fill>
    <fill>
      <patternFill patternType="solid">
        <fgColor rgb="0015181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6" fillId="0" borderId="0" pivotButton="0" quotePrefix="0" xfId="0"/>
    <xf numFmtId="0" fontId="3" fillId="3" borderId="1" pivotButton="0" quotePrefix="0" xfId="0"/>
    <xf numFmtId="0" fontId="5" fillId="0" borderId="0" pivotButton="0" quotePrefix="0" xfId="0"/>
    <xf numFmtId="164" fontId="4" fillId="2" borderId="1" pivotButton="0" quotePrefix="0" xfId="0"/>
    <xf numFmtId="10" fontId="4" fillId="2" borderId="1" pivotButton="0" quotePrefix="0" xfId="0"/>
    <xf numFmtId="165" fontId="4" fillId="2" borderId="1" pivotButton="0" quotePrefix="0" xfId="0"/>
    <xf numFmtId="166" fontId="4" fillId="2" borderId="1" pivotButton="0" quotePrefix="0" xfId="0"/>
    <xf numFmtId="2" fontId="4" fillId="2" borderId="1" pivotButton="0" quotePrefix="0" xfId="0"/>
    <xf numFmtId="166" fontId="3" fillId="3" borderId="1" pivotButton="0" quotePrefix="0" xfId="0"/>
    <xf numFmtId="167" fontId="3" fillId="3" borderId="1" pivotButton="0" quotePrefix="0" xfId="0"/>
    <xf numFmtId="2" fontId="7" fillId="3" borderId="1" pivotButton="0" quotePrefix="0" xfId="0"/>
    <xf numFmtId="10" fontId="3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1" fontId="4" fillId="2" borderId="1" pivotButton="0" quotePrefix="0" xfId="0"/>
    <xf numFmtId="2" fontId="3" fillId="3" borderId="1" pivotButton="0" quotePrefix="0" xfId="0"/>
    <xf numFmtId="9" fontId="4" fillId="2" borderId="1" pivotButton="0" quotePrefix="0" xfId="0"/>
    <xf numFmtId="1" fontId="3" fillId="3" borderId="1" pivotButton="0" quotePrefix="0" xfId="0"/>
    <xf numFmtId="0" fontId="3" fillId="0" borderId="1" pivotButton="0" quotePrefix="0" xfId="0"/>
    <xf numFmtId="168" fontId="3" fillId="3" borderId="1" pivotButton="0" quotePrefix="0" xfId="0"/>
    <xf numFmtId="168" fontId="4" fillId="2" borderId="1" pivotButton="0" quotePrefix="0" xfId="0"/>
    <xf numFmtId="168" fontId="7" fillId="3" borderId="1" pivotButton="0" quotePrefix="0" xfId="0"/>
    <xf numFmtId="0" fontId="6" fillId="0" borderId="0" applyAlignment="1" pivotButton="0" quotePrefix="0" xfId="0">
      <alignment horizontal="center"/>
    </xf>
    <xf numFmtId="164" fontId="3" fillId="3" borderId="1" pivotButton="0" quotePrefix="0" xfId="0"/>
    <xf numFmtId="1" fontId="7" fillId="3" borderId="1" pivotButton="0" quotePrefix="0" xfId="0"/>
    <xf numFmtId="169" fontId="7" fillId="3" borderId="1" pivotButton="0" quotePrefix="0" xfId="0"/>
    <xf numFmtId="170" fontId="4" fillId="2" borderId="1" pivotButton="0" quotePrefix="0" xfId="0"/>
    <xf numFmtId="49" fontId="4" fillId="2" borderId="1" pivotButton="0" quotePrefix="0" xfId="0"/>
    <xf numFmtId="169" fontId="6" fillId="0" borderId="1" pivotButton="0" quotePrefix="0" xfId="0"/>
    <xf numFmtId="0" fontId="6" fillId="0" borderId="1" pivotButton="0" quotePrefix="0" xfId="0"/>
    <xf numFmtId="169" fontId="3" fillId="3" borderId="1" pivotButton="0" quotePrefix="0" xfId="0"/>
    <xf numFmtId="9" fontId="3" fillId="3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Arial"/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Riskly</author>
  </authors>
  <commentList>
    <comment ref="B4" authorId="0" shapeId="0">
      <text>
        <t>Il saldo attuale del conto.</t>
      </text>
    </comment>
    <comment ref="B5" authorId="0" shapeId="0">
      <text>
        <t>Scrivi 1% per l'1%. Riferimento comune: 0,5%–1%.</t>
      </text>
    </comment>
    <comment ref="B6" authorId="0" shapeId="0">
      <text>
        <t>Distanza tra prezzo di ingresso e stop, in pip.</t>
      </text>
    </comment>
    <comment ref="B7" authorId="0" shapeId="0">
      <text>
        <t>EUR/USD con conto in euro: circa 10 € (varia col cambio). Oro e indici: chiedi al broker.</t>
      </text>
    </comment>
    <comment ref="B8" authorId="0" shapeId="0">
      <text>
        <t>Di solito 0,01 (micro lotto).</t>
      </text>
    </comment>
  </commentList>
</comments>
</file>

<file path=xl/comments/comment2.xml><?xml version="1.0" encoding="utf-8"?>
<comments xmlns="http://schemas.openxmlformats.org/spreadsheetml/2006/main">
  <authors>
    <author>Riskly</author>
  </authors>
  <commentList>
    <comment ref="B6" authorId="0" shapeId="0">
      <text>
        <t>Raggiunta questa perdita smetti per oggi.</t>
      </text>
    </comment>
    <comment ref="B8" authorId="0" shapeId="0">
      <text>
        <t>Superata: stop, revisione del sistema e rischio dimezzato.</t>
      </text>
    </comment>
    <comment ref="B10" authorId="0" shapeId="0">
      <text>
        <t>50% = rischio dimezzato.</t>
      </text>
    </comment>
  </commentList>
</comments>
</file>

<file path=xl/comments/comment3.xml><?xml version="1.0" encoding="utf-8"?>
<comments xmlns="http://schemas.openxmlformats.org/spreadsheetml/2006/main">
  <authors>
    <author>Riskly</author>
  </authors>
  <commentList>
    <comment ref="F6" authorId="0" shapeId="0">
      <text>
        <t>Usato anche nella colonna C. 1% = un trade da +1R rischiando l'1%.</t>
      </text>
    </comment>
  </commentList>
</comments>
</file>

<file path=xl/comments/comment4.xml><?xml version="1.0" encoding="utf-8"?>
<comments xmlns="http://schemas.openxmlformats.org/spreadsheetml/2006/main">
  <authors>
    <author>Riskly</author>
  </authors>
  <commentList>
    <comment ref="G6" authorId="0" shapeId="0">
      <text>
        <t>Sistema d'esempio del corso: 45%.</t>
      </text>
    </comment>
  </commentList>
</comments>
</file>

<file path=xl/comments/comment5.xml><?xml version="1.0" encoding="utf-8"?>
<comments xmlns="http://schemas.openxmlformats.org/spreadsheetml/2006/main">
  <authors>
    <author>Riskly</author>
  </authors>
  <commentList>
    <comment ref="B6" authorId="0" shapeId="0">
      <text>
        <t>Di solito 1 se rispetti sempre lo stop.</t>
      </text>
    </comment>
    <comment ref="B7" authorId="0" shapeId="0">
      <text>
        <t>Il rischio per trade in euro (es. 1% di 10.000 €).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E9A10F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Riskly · Kit del corso di gestione del rischio</t>
        </is>
      </c>
    </row>
    <row r="2">
      <c r="A2" s="2" t="inlineStr">
        <is>
          <t>Sei fogli, uno per ogni strumento usato nelle lezioni. Funziona con Excel, Google Fogli e LibreOffice.</t>
        </is>
      </c>
    </row>
    <row r="4">
      <c r="A4" s="3" t="inlineStr">
        <is>
          <t>Come si usa</t>
        </is>
      </c>
    </row>
    <row r="5">
      <c r="A5" s="4" t="inlineStr">
        <is>
          <t>Cella gialla, testo blu</t>
        </is>
      </c>
      <c r="B5" s="5" t="inlineStr">
        <is>
          <t>Da modificare con i tuoi numeri. Le celle con il triangolino rosso hanno una nota che spiega cosa scrivere.</t>
        </is>
      </c>
    </row>
    <row r="6">
      <c r="A6" s="6" t="inlineStr">
        <is>
          <t>Cella verde</t>
        </is>
      </c>
      <c r="B6" s="5" t="inlineStr">
        <is>
          <t>Risultato: è una formula, non va toccata.</t>
        </is>
      </c>
    </row>
    <row r="8">
      <c r="A8" s="3" t="inlineStr">
        <is>
          <t>I fogli</t>
        </is>
      </c>
    </row>
    <row r="9">
      <c r="A9" s="7" t="inlineStr">
        <is>
          <t>Calcolatore lotto</t>
        </is>
      </c>
      <c r="B9" s="5" t="inlineStr">
        <is>
          <t>Lezioni 1.2–1.5: dal rischio in % allo stop in pip, al lotto giusto.</t>
        </is>
      </c>
    </row>
    <row r="10">
      <c r="A10" s="7" t="inlineStr">
        <is>
          <t>Piano di rischio</t>
        </is>
      </c>
      <c r="B10" s="5" t="inlineStr">
        <is>
          <t>Lezioni 6.x e 10.x: limiti giornalieri, settimanali e mensili in euro e in numero di stop.</t>
        </is>
      </c>
    </row>
    <row r="11">
      <c r="A11" s="7" t="inlineStr">
        <is>
          <t>Recupero drawdown</t>
        </is>
      </c>
      <c r="B11" s="5" t="inlineStr">
        <is>
          <t>Lezione 3.x: quanto devi guadagnare per tornare in pari dopo una perdita.</t>
        </is>
      </c>
    </row>
    <row r="12">
      <c r="A12" s="7" t="inlineStr">
        <is>
          <t>Serie di perdite</t>
        </is>
      </c>
      <c r="B12" s="5" t="inlineStr">
        <is>
          <t>Moduli 3–4: cosa fa al conto una serie di stop di fila e quanto è probabile.</t>
        </is>
      </c>
    </row>
    <row r="13">
      <c r="A13" s="7" t="inlineStr">
        <is>
          <t>Expectancy</t>
        </is>
      </c>
      <c r="B13" s="5" t="inlineStr">
        <is>
          <t>Lezione 2.1: quanto vale in media un trade del tuo sistema, in R e in euro.</t>
        </is>
      </c>
    </row>
    <row r="14">
      <c r="A14" s="7" t="inlineStr">
        <is>
          <t>Journal</t>
        </is>
      </c>
      <c r="B14" s="5" t="inlineStr">
        <is>
          <t>Lezioni 8.x: registro delle operazioni con risultato in R e statistiche automatiche.</t>
        </is>
      </c>
    </row>
    <row r="16">
      <c r="A16" s="3" t="inlineStr">
        <is>
          <t>Ipotesi</t>
        </is>
      </c>
      <c r="B16" s="5" t="inlineStr">
        <is>
          <t>Valore del pip: 10 € per lotto standard (EUR/USD con conto in euro, valore approssimato). Per altri strumenti scrivi il valore del tuo broker.</t>
        </is>
      </c>
    </row>
    <row r="17">
      <c r="B17" s="5" t="inlineStr">
        <is>
          <t>Probabilità delle serie di perdite: ogni trade indipendente dagli altri, win rate costante. Nella realtà i risultati possono essere peggiori.</t>
        </is>
      </c>
    </row>
    <row r="19">
      <c r="A19" s="2" t="inlineStr">
        <is>
          <t>Materiale educativo del corso Riskly, non consulenza finanziaria. Il trading con leva può farti perdere tutto il capitale.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A10F"/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" customWidth="1" min="3" max="3"/>
    <col width="60" customWidth="1" min="4" max="4"/>
  </cols>
  <sheetData>
    <row r="1">
      <c r="A1" s="1" t="inlineStr">
        <is>
          <t>Calcolatore lotto</t>
        </is>
      </c>
    </row>
    <row r="2">
      <c r="A2" s="2" t="inlineStr">
        <is>
          <t>Prima scegli lo stop dove l'idea è sbagliata, poi il lotto si adatta al rischio.</t>
        </is>
      </c>
    </row>
    <row r="4">
      <c r="A4" s="5" t="inlineStr">
        <is>
          <t>Capitale del conto (€)</t>
        </is>
      </c>
      <c r="B4" s="8" t="n">
        <v>10000</v>
      </c>
    </row>
    <row r="5">
      <c r="A5" s="5" t="inlineStr">
        <is>
          <t>Rischio per trade (%)</t>
        </is>
      </c>
      <c r="B5" s="9" t="n">
        <v>0.01</v>
      </c>
    </row>
    <row r="6">
      <c r="A6" s="5" t="inlineStr">
        <is>
          <t>Stop loss (pip)</t>
        </is>
      </c>
      <c r="B6" s="10" t="n">
        <v>25</v>
      </c>
    </row>
    <row r="7">
      <c r="A7" s="5" t="inlineStr">
        <is>
          <t>Valore di 1 pip per 1 lotto (€)</t>
        </is>
      </c>
      <c r="B7" s="11" t="n">
        <v>10</v>
      </c>
    </row>
    <row r="8">
      <c r="A8" s="5" t="inlineStr">
        <is>
          <t>Lotto minimo del broker</t>
        </is>
      </c>
      <c r="B8" s="12" t="n">
        <v>0.01</v>
      </c>
    </row>
    <row r="10">
      <c r="A10" s="3" t="inlineStr">
        <is>
          <t>Rischio in euro</t>
        </is>
      </c>
      <c r="B10" s="13">
        <f>B4*B5</f>
        <v/>
      </c>
      <c r="D10" s="2" t="inlineStr">
        <is>
          <t>Formula: lotto = rischio in € ÷ (stop in pip × valore del pip)</t>
        </is>
      </c>
    </row>
    <row r="11">
      <c r="A11" s="5" t="inlineStr">
        <is>
          <t>Lotto esatto</t>
        </is>
      </c>
      <c r="B11" s="14">
        <f>IF(B6*B7=0,0,B10/(B6*B7))</f>
        <v/>
      </c>
    </row>
    <row r="12">
      <c r="A12" s="3" t="inlineStr">
        <is>
          <t>Lotto da usare (arrotondato per difetto)</t>
        </is>
      </c>
      <c r="B12" s="15">
        <f>IF(B8=0,B11,FLOOR(B11+0.0000001,B8))</f>
        <v/>
      </c>
      <c r="D12" s="2" t="inlineStr">
        <is>
          <t>Si arrotonda sempre per difetto: meglio rischiare un po' meno che un po' di più.</t>
        </is>
      </c>
    </row>
    <row r="13">
      <c r="A13" s="5" t="inlineStr">
        <is>
          <t>Perdita reale se scatta lo stop</t>
        </is>
      </c>
      <c r="B13" s="13">
        <f>B12*B6*B7</f>
        <v/>
      </c>
    </row>
    <row r="14">
      <c r="A14" s="5" t="inlineStr">
        <is>
          <t>Rischio reale in % del conto</t>
        </is>
      </c>
      <c r="B14" s="16">
        <f>IF(B4=0,0,B13/B4)</f>
        <v/>
      </c>
      <c r="D14" s="2" t="inlineStr">
        <is>
          <t>Se è 0 il lotto minimo è troppo grande per questo stop: allarga il conto o salta il trade.</t>
        </is>
      </c>
    </row>
    <row r="17">
      <c r="A17" s="3" t="inlineStr">
        <is>
          <t>Stessa operazione, stop diversi</t>
        </is>
      </c>
    </row>
    <row r="18">
      <c r="A18" s="17" t="inlineStr">
        <is>
          <t>Stop (pip)</t>
        </is>
      </c>
      <c r="B18" s="17" t="inlineStr">
        <is>
          <t>Lotto</t>
        </is>
      </c>
    </row>
    <row r="19">
      <c r="A19" s="18" t="n">
        <v>10</v>
      </c>
      <c r="B19" s="19">
        <f>IF($B$8=0,$B$10/(A19*$B$7),FLOOR($B$10/(A19*$B$7)+0.0000001,$B$8))</f>
        <v/>
      </c>
    </row>
    <row r="20">
      <c r="A20" s="18" t="n">
        <v>15</v>
      </c>
      <c r="B20" s="19">
        <f>IF($B$8=0,$B$10/(A20*$B$7),FLOOR($B$10/(A20*$B$7)+0.0000001,$B$8))</f>
        <v/>
      </c>
    </row>
    <row r="21">
      <c r="A21" s="18" t="n">
        <v>20</v>
      </c>
      <c r="B21" s="19">
        <f>IF($B$8=0,$B$10/(A21*$B$7),FLOOR($B$10/(A21*$B$7)+0.0000001,$B$8))</f>
        <v/>
      </c>
    </row>
    <row r="22">
      <c r="A22" s="18" t="n">
        <v>25</v>
      </c>
      <c r="B22" s="19">
        <f>IF($B$8=0,$B$10/(A22*$B$7),FLOOR($B$10/(A22*$B$7)+0.0000001,$B$8))</f>
        <v/>
      </c>
    </row>
    <row r="23">
      <c r="A23" s="18" t="n">
        <v>30</v>
      </c>
      <c r="B23" s="19">
        <f>IF($B$8=0,$B$10/(A23*$B$7),FLOOR($B$10/(A23*$B$7)+0.0000001,$B$8))</f>
        <v/>
      </c>
    </row>
    <row r="24">
      <c r="A24" s="18" t="n">
        <v>40</v>
      </c>
      <c r="B24" s="19">
        <f>IF($B$8=0,$B$10/(A24*$B$7),FLOOR($B$10/(A24*$B$7)+0.0000001,$B$8))</f>
        <v/>
      </c>
    </row>
    <row r="25">
      <c r="A25" s="18" t="n">
        <v>50</v>
      </c>
      <c r="B25" s="19">
        <f>IF($B$8=0,$B$10/(A25*$B$7),FLOOR($B$10/(A25*$B$7)+0.0000001,$B$8))</f>
        <v/>
      </c>
    </row>
    <row r="26">
      <c r="A26" s="18" t="n">
        <v>75</v>
      </c>
      <c r="B26" s="19">
        <f>IF($B$8=0,$B$10/(A26*$B$7),FLOOR($B$10/(A26*$B$7)+0.0000001,$B$8))</f>
        <v/>
      </c>
    </row>
    <row r="27">
      <c r="A27" s="18" t="n">
        <v>100</v>
      </c>
      <c r="B27" s="19">
        <f>IF($B$8=0,$B$10/(A27*$B$7),FLOOR($B$10/(A27*$B$7)+0.0000001,$B$8))</f>
        <v/>
      </c>
    </row>
    <row r="29">
      <c r="A29" s="2" t="inlineStr">
        <is>
          <t>Materiale educativo del corso Riskly, non consulenza finanziaria. Il trading con leva può farti perdere tutto il capitale.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9A10F"/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22" customWidth="1" min="4" max="4"/>
  </cols>
  <sheetData>
    <row r="1">
      <c r="A1" s="1" t="inlineStr">
        <is>
          <t>Il mio piano di rischio</t>
        </is>
      </c>
    </row>
    <row r="2">
      <c r="A2" s="2" t="inlineStr">
        <is>
          <t>Le regole si scrivono prima, a mercato chiuso. Qui diventano numeri.</t>
        </is>
      </c>
    </row>
    <row r="4">
      <c r="A4" s="5" t="inlineStr">
        <is>
          <t>Capitale del conto (€)</t>
        </is>
      </c>
      <c r="B4" s="8" t="n">
        <v>10000</v>
      </c>
    </row>
    <row r="5">
      <c r="A5" s="5" t="inlineStr">
        <is>
          <t>Rischio per trade (%)</t>
        </is>
      </c>
      <c r="B5" s="9" t="n">
        <v>0.01</v>
      </c>
    </row>
    <row r="6">
      <c r="A6" s="5" t="inlineStr">
        <is>
          <t>Perdita massima al giorno (%)</t>
        </is>
      </c>
      <c r="B6" s="9" t="n">
        <v>0.03</v>
      </c>
    </row>
    <row r="7">
      <c r="A7" s="5" t="inlineStr">
        <is>
          <t>Perdita massima alla settimana (%)</t>
        </is>
      </c>
      <c r="B7" s="9" t="n">
        <v>0.06</v>
      </c>
    </row>
    <row r="8">
      <c r="A8" s="5" t="inlineStr">
        <is>
          <t>Perdita massima al mese (%)</t>
        </is>
      </c>
      <c r="B8" s="9" t="n">
        <v>0.1</v>
      </c>
    </row>
    <row r="9">
      <c r="A9" s="5" t="inlineStr">
        <is>
          <t>Operazioni massime al giorno</t>
        </is>
      </c>
      <c r="B9" s="18" t="n">
        <v>3</v>
      </c>
    </row>
    <row r="10">
      <c r="A10" s="5" t="inlineStr">
        <is>
          <t>Riduzione del rischio dopo il limite mensile</t>
        </is>
      </c>
      <c r="B10" s="20" t="n">
        <v>0.5</v>
      </c>
    </row>
    <row r="12">
      <c r="A12" s="17" t="inlineStr">
        <is>
          <t>Limite</t>
        </is>
      </c>
      <c r="B12" s="17" t="inlineStr">
        <is>
          <t>In euro</t>
        </is>
      </c>
      <c r="C12" s="17" t="inlineStr">
        <is>
          <t>In numero di stop</t>
        </is>
      </c>
      <c r="D12" s="17" t="inlineStr">
        <is>
          <t>Controllo</t>
        </is>
      </c>
    </row>
    <row r="13">
      <c r="A13" s="5" t="inlineStr">
        <is>
          <t>Per trade</t>
        </is>
      </c>
      <c r="B13" s="13">
        <f>B4*B5</f>
        <v/>
      </c>
      <c r="C13" s="21">
        <f>1</f>
        <v/>
      </c>
      <c r="D13" s="22">
        <f>IF(B5&gt;0.02,"Rischio alto: oltre il 2%","OK")</f>
        <v/>
      </c>
    </row>
    <row r="14">
      <c r="A14" s="5" t="inlineStr">
        <is>
          <t>Al giorno</t>
        </is>
      </c>
      <c r="B14" s="13">
        <f>B4*B6</f>
        <v/>
      </c>
      <c r="C14" s="21">
        <f>IF($B$5=0,0,ROUNDDOWN(B6/$B$5,0))</f>
        <v/>
      </c>
      <c r="D14" s="22">
        <f>IF(C14&lt;B9,"Ti fermi prima di finire i trade del giorno","OK")</f>
        <v/>
      </c>
    </row>
    <row r="15">
      <c r="A15" s="5" t="inlineStr">
        <is>
          <t>Alla settimana</t>
        </is>
      </c>
      <c r="B15" s="13">
        <f>B4*B7</f>
        <v/>
      </c>
      <c r="C15" s="21">
        <f>IF($B$5=0,0,ROUNDDOWN(B7/$B$5,0))</f>
        <v/>
      </c>
      <c r="D15" s="22">
        <f>IF(B7&lt;B6,"Il limite settimanale è sotto quello giornaliero","OK")</f>
        <v/>
      </c>
    </row>
    <row r="16">
      <c r="A16" s="5" t="inlineStr">
        <is>
          <t>Al mese</t>
        </is>
      </c>
      <c r="B16" s="13">
        <f>B4*B8</f>
        <v/>
      </c>
      <c r="C16" s="21">
        <f>IF($B$5=0,0,ROUNDDOWN(B8/$B$5,0))</f>
        <v/>
      </c>
      <c r="D16" s="22">
        <f>IF(B8&lt;B7,"Il limite mensile è sotto quello settimanale","OK")</f>
        <v/>
      </c>
    </row>
    <row r="18">
      <c r="A18" s="5" t="inlineStr">
        <is>
          <t>Rischio per trade dopo il limite mensile</t>
        </is>
      </c>
      <c r="B18" s="16">
        <f>B5*B10</f>
        <v/>
      </c>
    </row>
    <row r="19">
      <c r="A19" s="5" t="inlineStr">
        <is>
          <t>In euro</t>
        </is>
      </c>
      <c r="B19" s="13">
        <f>B4*B18</f>
        <v/>
      </c>
    </row>
    <row r="21">
      <c r="A21" s="3" t="inlineStr">
        <is>
          <t>Le mie regole (scrivile tu)</t>
        </is>
      </c>
    </row>
    <row r="22">
      <c r="A22" s="5" t="inlineStr">
        <is>
          <t>Quando opero:</t>
        </is>
      </c>
      <c r="B22" s="4" t="inlineStr">
        <is>
          <t>es. 9:00–12:00, mai nei 15 minuti prima e dopo un dato forte</t>
        </is>
      </c>
    </row>
    <row r="23">
      <c r="A23" s="5" t="inlineStr">
        <is>
          <t>Su quali strumenti:</t>
        </is>
      </c>
      <c r="B23" s="4" t="n"/>
    </row>
    <row r="24">
      <c r="A24" s="5" t="inlineStr">
        <is>
          <t>Quando NON opero (notizie, stanchezza, dopo 2 stop…):</t>
        </is>
      </c>
      <c r="B24" s="4" t="n"/>
    </row>
    <row r="25">
      <c r="A25" s="5" t="inlineStr">
        <is>
          <t>Cosa faccio dopo una perdita:</t>
        </is>
      </c>
      <c r="B25" s="4" t="n"/>
    </row>
    <row r="26">
      <c r="A26" s="5" t="inlineStr">
        <is>
          <t>Cosa faccio dopo una vincita:</t>
        </is>
      </c>
      <c r="B26" s="4" t="n"/>
    </row>
    <row r="28">
      <c r="A28" s="2" t="inlineStr">
        <is>
          <t>Materiale educativo del corso Riskly, non consulenza finanziaria. Il trading con leva può farti perdere tutto il capitale.</t>
        </is>
      </c>
    </row>
  </sheetData>
  <mergeCells count="5">
    <mergeCell ref="B23:D23"/>
    <mergeCell ref="B22:D22"/>
    <mergeCell ref="B26:D26"/>
    <mergeCell ref="B25:D25"/>
    <mergeCell ref="B24:D24"/>
  </mergeCells>
  <conditionalFormatting sqref="D13:D16">
    <cfRule type="cellIs" priority="1" operator="notEqual" dxfId="0">
      <formula>"OK"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E9A10F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4" customWidth="1" min="4" max="4"/>
    <col width="34" customWidth="1" min="5" max="5"/>
    <col width="16" customWidth="1" min="6" max="6"/>
  </cols>
  <sheetData>
    <row r="1">
      <c r="A1" s="1" t="inlineStr">
        <is>
          <t>Recupero del drawdown</t>
        </is>
      </c>
    </row>
    <row r="2">
      <c r="A2" s="2" t="inlineStr">
        <is>
          <t>Più perdi, più è difficile tornare in pari: la salita è sempre più ripida della discesa.</t>
        </is>
      </c>
    </row>
    <row r="4">
      <c r="A4" s="17" t="inlineStr">
        <is>
          <t>Perdita (drawdown)</t>
        </is>
      </c>
      <c r="B4" s="17" t="inlineStr">
        <is>
          <t>Guadagno per tornare in pari</t>
        </is>
      </c>
      <c r="C4" s="17" t="inlineStr">
        <is>
          <t>Trade vincenti di fila (guadagno in F6)</t>
        </is>
      </c>
      <c r="E4" s="3" t="inlineStr">
        <is>
          <t>Il tuo caso</t>
        </is>
      </c>
    </row>
    <row r="5">
      <c r="A5" s="20" t="n">
        <v>0.05</v>
      </c>
      <c r="B5" s="23">
        <f>A5/(1-A5)</f>
        <v/>
      </c>
      <c r="C5" s="21">
        <f>ROUNDUP(LN(1/(1-A5))/LN(1+$F$6),0)</f>
        <v/>
      </c>
      <c r="E5" s="5" t="inlineStr">
        <is>
          <t>Drawdown attuale (%)</t>
        </is>
      </c>
      <c r="F5" s="24" t="n">
        <v>0.12</v>
      </c>
    </row>
    <row r="6">
      <c r="A6" s="20" t="n">
        <v>0.1</v>
      </c>
      <c r="B6" s="23">
        <f>A6/(1-A6)</f>
        <v/>
      </c>
      <c r="C6" s="21">
        <f>ROUNDUP(LN(1/(1-A6))/LN(1+$F$6),0)</f>
        <v/>
      </c>
      <c r="E6" s="5" t="inlineStr">
        <is>
          <t>Guadagno per trade vincente (%)</t>
        </is>
      </c>
      <c r="F6" s="24" t="n">
        <v>0.01</v>
      </c>
    </row>
    <row r="7">
      <c r="A7" s="20" t="n">
        <v>0.15</v>
      </c>
      <c r="B7" s="23">
        <f>A7/(1-A7)</f>
        <v/>
      </c>
      <c r="C7" s="21">
        <f>ROUNDUP(LN(1/(1-A7))/LN(1+$F$6),0)</f>
        <v/>
      </c>
      <c r="E7" s="3" t="inlineStr">
        <is>
          <t>Guadagno per tornare in pari</t>
        </is>
      </c>
      <c r="F7" s="25">
        <f>F5/(1-F5)</f>
        <v/>
      </c>
    </row>
    <row r="8">
      <c r="A8" s="20" t="n">
        <v>0.2</v>
      </c>
      <c r="B8" s="23">
        <f>A8/(1-A8)</f>
        <v/>
      </c>
      <c r="C8" s="21">
        <f>ROUNDUP(LN(1/(1-A8))/LN(1+$F$6),0)</f>
        <v/>
      </c>
      <c r="E8" s="5" t="inlineStr">
        <is>
          <t>Trade vincenti di fila necessari</t>
        </is>
      </c>
      <c r="F8" s="21">
        <f>ROUNDUP(LN(1/(1-F5))/LN(1+F6),0)</f>
        <v/>
      </c>
    </row>
    <row r="9">
      <c r="A9" s="20" t="n">
        <v>0.25</v>
      </c>
      <c r="B9" s="23">
        <f>A9/(1-A9)</f>
        <v/>
      </c>
      <c r="C9" s="21">
        <f>ROUNDUP(LN(1/(1-A9))/LN(1+$F$6),0)</f>
        <v/>
      </c>
    </row>
    <row r="10">
      <c r="A10" s="20" t="n">
        <v>0.3</v>
      </c>
      <c r="B10" s="23">
        <f>A10/(1-A10)</f>
        <v/>
      </c>
      <c r="C10" s="21">
        <f>ROUNDUP(LN(1/(1-A10))/LN(1+$F$6),0)</f>
        <v/>
      </c>
      <c r="E10" s="2" t="inlineStr">
        <is>
          <t>Formula: recupero = perdita ÷ (1 − perdita)</t>
        </is>
      </c>
    </row>
    <row r="11">
      <c r="A11" s="20" t="n">
        <v>0.4</v>
      </c>
      <c r="B11" s="23">
        <f>A11/(1-A11)</f>
        <v/>
      </c>
      <c r="C11" s="21">
        <f>ROUNDUP(LN(1/(1-A11))/LN(1+$F$6),0)</f>
        <v/>
      </c>
      <c r="E11" s="2" t="inlineStr">
        <is>
          <t>Trade vincenti calcolati con interesse composto, senza perdite in mezzo.</t>
        </is>
      </c>
    </row>
    <row r="12">
      <c r="A12" s="20" t="n">
        <v>0.5</v>
      </c>
      <c r="B12" s="23">
        <f>A12/(1-A12)</f>
        <v/>
      </c>
      <c r="C12" s="21">
        <f>ROUNDUP(LN(1/(1-A12))/LN(1+$F$6),0)</f>
        <v/>
      </c>
    </row>
    <row r="13">
      <c r="A13" s="20" t="n">
        <v>0.6</v>
      </c>
      <c r="B13" s="23">
        <f>A13/(1-A13)</f>
        <v/>
      </c>
      <c r="C13" s="21">
        <f>ROUNDUP(LN(1/(1-A13))/LN(1+$F$6),0)</f>
        <v/>
      </c>
    </row>
    <row r="14">
      <c r="A14" s="20" t="n">
        <v>0.75</v>
      </c>
      <c r="B14" s="23">
        <f>A14/(1-A14)</f>
        <v/>
      </c>
      <c r="C14" s="21">
        <f>ROUNDUP(LN(1/(1-A14))/LN(1+$F$6),0)</f>
        <v/>
      </c>
    </row>
    <row r="15">
      <c r="A15" s="20" t="n">
        <v>0.9</v>
      </c>
      <c r="B15" s="23">
        <f>A15/(1-A15)</f>
        <v/>
      </c>
      <c r="C15" s="21">
        <f>ROUNDUP(LN(1/(1-A15))/LN(1+$F$6),0)</f>
        <v/>
      </c>
    </row>
    <row r="18">
      <c r="A18" s="2" t="inlineStr">
        <is>
          <t>Materiale educativo del corso Riskly, non consulenza finanziaria. Il trading con leva può farti perdere tutto il capitale.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E9A10F"/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  <col width="4" customWidth="1" min="5" max="5"/>
    <col width="40" customWidth="1" min="6" max="6"/>
    <col width="14" customWidth="1" min="7" max="7"/>
  </cols>
  <sheetData>
    <row r="1">
      <c r="A1" s="1" t="inlineStr">
        <is>
          <t>Serie di perdite</t>
        </is>
      </c>
    </row>
    <row r="2">
      <c r="A2" s="2" t="inlineStr">
        <is>
          <t>Cosa fa al conto una serie di stop di fila, e quanto è probabile vederla.</t>
        </is>
      </c>
    </row>
    <row r="4">
      <c r="A4" s="17" t="inlineStr">
        <is>
          <t>Stop di fila</t>
        </is>
      </c>
      <c r="B4" s="17" t="inlineStr">
        <is>
          <t>Capitale dopo</t>
        </is>
      </c>
      <c r="C4" s="17" t="inlineStr">
        <is>
          <t>Drawdown</t>
        </is>
      </c>
      <c r="D4" s="17" t="inlineStr">
        <is>
          <t>Probabilità di vederla almeno una volta</t>
        </is>
      </c>
      <c r="F4" s="5" t="inlineStr">
        <is>
          <t>Capitale (€)</t>
        </is>
      </c>
      <c r="G4" s="8" t="n">
        <v>10000</v>
      </c>
    </row>
    <row r="5">
      <c r="A5" s="26" t="n">
        <v>1</v>
      </c>
      <c r="B5" s="27">
        <f>$G$4*(1-$G$5)^A5</f>
        <v/>
      </c>
      <c r="C5" s="23">
        <f>1-(1-$G$5)^A5</f>
        <v/>
      </c>
      <c r="D5" s="23">
        <f>IF($G$7&lt;A5,0,MIN(1,1-(1-$G$6*(1-$G$6)^A5)^($G$7-A5+1)))</f>
        <v/>
      </c>
      <c r="F5" s="5" t="inlineStr">
        <is>
          <t>Rischio per trade (%)</t>
        </is>
      </c>
      <c r="G5" s="9" t="n">
        <v>0.01</v>
      </c>
    </row>
    <row r="6">
      <c r="A6" s="26" t="n">
        <v>2</v>
      </c>
      <c r="B6" s="27">
        <f>$G$4*(1-$G$5)^A6</f>
        <v/>
      </c>
      <c r="C6" s="23">
        <f>1-(1-$G$5)^A6</f>
        <v/>
      </c>
      <c r="D6" s="23">
        <f>IF($G$7&lt;A6,0,MIN(1,1-(1-$G$6*(1-$G$6)^A6)^($G$7-A6+1)))</f>
        <v/>
      </c>
      <c r="F6" s="5" t="inlineStr">
        <is>
          <t>Win rate del sistema (%)</t>
        </is>
      </c>
      <c r="G6" s="20" t="n">
        <v>0.45</v>
      </c>
    </row>
    <row r="7">
      <c r="A7" s="26" t="n">
        <v>3</v>
      </c>
      <c r="B7" s="27">
        <f>$G$4*(1-$G$5)^A7</f>
        <v/>
      </c>
      <c r="C7" s="23">
        <f>1-(1-$G$5)^A7</f>
        <v/>
      </c>
      <c r="D7" s="23">
        <f>IF($G$7&lt;A7,0,MIN(1,1-(1-$G$6*(1-$G$6)^A7)^($G$7-A7+1)))</f>
        <v/>
      </c>
      <c r="F7" s="5" t="inlineStr">
        <is>
          <t>Numero di trade (anno)</t>
        </is>
      </c>
      <c r="G7" s="18" t="n">
        <v>200</v>
      </c>
    </row>
    <row r="8">
      <c r="A8" s="26" t="n">
        <v>4</v>
      </c>
      <c r="B8" s="27">
        <f>$G$4*(1-$G$5)^A8</f>
        <v/>
      </c>
      <c r="C8" s="23">
        <f>1-(1-$G$5)^A8</f>
        <v/>
      </c>
      <c r="D8" s="23">
        <f>IF($G$7&lt;A8,0,MIN(1,1-(1-$G$6*(1-$G$6)^A8)^($G$7-A8+1)))</f>
        <v/>
      </c>
    </row>
    <row r="9">
      <c r="A9" s="26" t="n">
        <v>5</v>
      </c>
      <c r="B9" s="27">
        <f>$G$4*(1-$G$5)^A9</f>
        <v/>
      </c>
      <c r="C9" s="23">
        <f>1-(1-$G$5)^A9</f>
        <v/>
      </c>
      <c r="D9" s="23">
        <f>IF($G$7&lt;A9,0,MIN(1,1-(1-$G$6*(1-$G$6)^A9)^($G$7-A9+1)))</f>
        <v/>
      </c>
      <c r="F9" s="3" t="inlineStr">
        <is>
          <t>Serie di perdite più lunga attesa</t>
        </is>
      </c>
      <c r="G9" s="28">
        <f>IF(OR(G6&lt;=0,G6&gt;=1),0,ROUND(LN(G7*G6)/LN(1/(1-G6)),0))</f>
        <v/>
      </c>
    </row>
    <row r="10">
      <c r="A10" s="26" t="n">
        <v>6</v>
      </c>
      <c r="B10" s="27">
        <f>$G$4*(1-$G$5)^A10</f>
        <v/>
      </c>
      <c r="C10" s="23">
        <f>1-(1-$G$5)^A10</f>
        <v/>
      </c>
      <c r="D10" s="23">
        <f>IF($G$7&lt;A10,0,MIN(1,1-(1-$G$6*(1-$G$6)^A10)^($G$7-A10+1)))</f>
        <v/>
      </c>
      <c r="F10" s="2" t="inlineStr">
        <is>
          <t>Stima classica: ln(trade × win rate) ÷ ln(1 ÷ % perdite).</t>
        </is>
      </c>
    </row>
    <row r="11">
      <c r="A11" s="26" t="n">
        <v>7</v>
      </c>
      <c r="B11" s="27">
        <f>$G$4*(1-$G$5)^A11</f>
        <v/>
      </c>
      <c r="C11" s="23">
        <f>1-(1-$G$5)^A11</f>
        <v/>
      </c>
      <c r="D11" s="23">
        <f>IF($G$7&lt;A11,0,MIN(1,1-(1-$G$6*(1-$G$6)^A11)^($G$7-A11+1)))</f>
        <v/>
      </c>
      <c r="F11" s="2" t="inlineStr">
        <is>
          <t>Con 45% e 200 trade è normale vedere 8–9 stop di fila.</t>
        </is>
      </c>
    </row>
    <row r="12">
      <c r="A12" s="26" t="n">
        <v>8</v>
      </c>
      <c r="B12" s="27">
        <f>$G$4*(1-$G$5)^A12</f>
        <v/>
      </c>
      <c r="C12" s="23">
        <f>1-(1-$G$5)^A12</f>
        <v/>
      </c>
      <c r="D12" s="23">
        <f>IF($G$7&lt;A12,0,MIN(1,1-(1-$G$6*(1-$G$6)^A12)^($G$7-A12+1)))</f>
        <v/>
      </c>
    </row>
    <row r="13">
      <c r="A13" s="26" t="n">
        <v>9</v>
      </c>
      <c r="B13" s="27">
        <f>$G$4*(1-$G$5)^A13</f>
        <v/>
      </c>
      <c r="C13" s="23">
        <f>1-(1-$G$5)^A13</f>
        <v/>
      </c>
      <c r="D13" s="23">
        <f>IF($G$7&lt;A13,0,MIN(1,1-(1-$G$6*(1-$G$6)^A13)^($G$7-A13+1)))</f>
        <v/>
      </c>
    </row>
    <row r="14">
      <c r="A14" s="26" t="n">
        <v>10</v>
      </c>
      <c r="B14" s="27">
        <f>$G$4*(1-$G$5)^A14</f>
        <v/>
      </c>
      <c r="C14" s="23">
        <f>1-(1-$G$5)^A14</f>
        <v/>
      </c>
      <c r="D14" s="23">
        <f>IF($G$7&lt;A14,0,MIN(1,1-(1-$G$6*(1-$G$6)^A14)^($G$7-A14+1)))</f>
        <v/>
      </c>
    </row>
    <row r="15">
      <c r="A15" s="26" t="n">
        <v>11</v>
      </c>
      <c r="B15" s="27">
        <f>$G$4*(1-$G$5)^A15</f>
        <v/>
      </c>
      <c r="C15" s="23">
        <f>1-(1-$G$5)^A15</f>
        <v/>
      </c>
      <c r="D15" s="23">
        <f>IF($G$7&lt;A15,0,MIN(1,1-(1-$G$6*(1-$G$6)^A15)^($G$7-A15+1)))</f>
        <v/>
      </c>
    </row>
    <row r="16">
      <c r="A16" s="26" t="n">
        <v>12</v>
      </c>
      <c r="B16" s="27">
        <f>$G$4*(1-$G$5)^A16</f>
        <v/>
      </c>
      <c r="C16" s="23">
        <f>1-(1-$G$5)^A16</f>
        <v/>
      </c>
      <c r="D16" s="23">
        <f>IF($G$7&lt;A16,0,MIN(1,1-(1-$G$6*(1-$G$6)^A16)^($G$7-A16+1)))</f>
        <v/>
      </c>
    </row>
    <row r="17">
      <c r="A17" s="26" t="n">
        <v>13</v>
      </c>
      <c r="B17" s="27">
        <f>$G$4*(1-$G$5)^A17</f>
        <v/>
      </c>
      <c r="C17" s="23">
        <f>1-(1-$G$5)^A17</f>
        <v/>
      </c>
      <c r="D17" s="23">
        <f>IF($G$7&lt;A17,0,MIN(1,1-(1-$G$6*(1-$G$6)^A17)^($G$7-A17+1)))</f>
        <v/>
      </c>
    </row>
    <row r="18">
      <c r="A18" s="26" t="n">
        <v>14</v>
      </c>
      <c r="B18" s="27">
        <f>$G$4*(1-$G$5)^A18</f>
        <v/>
      </c>
      <c r="C18" s="23">
        <f>1-(1-$G$5)^A18</f>
        <v/>
      </c>
      <c r="D18" s="23">
        <f>IF($G$7&lt;A18,0,MIN(1,1-(1-$G$6*(1-$G$6)^A18)^($G$7-A18+1)))</f>
        <v/>
      </c>
    </row>
    <row r="19">
      <c r="A19" s="26" t="n">
        <v>15</v>
      </c>
      <c r="B19" s="27">
        <f>$G$4*(1-$G$5)^A19</f>
        <v/>
      </c>
      <c r="C19" s="23">
        <f>1-(1-$G$5)^A19</f>
        <v/>
      </c>
      <c r="D19" s="23">
        <f>IF($G$7&lt;A19,0,MIN(1,1-(1-$G$6*(1-$G$6)^A19)^($G$7-A19+1)))</f>
        <v/>
      </c>
    </row>
    <row r="20">
      <c r="A20" s="26" t="n">
        <v>16</v>
      </c>
      <c r="B20" s="27">
        <f>$G$4*(1-$G$5)^A20</f>
        <v/>
      </c>
      <c r="C20" s="23">
        <f>1-(1-$G$5)^A20</f>
        <v/>
      </c>
      <c r="D20" s="23">
        <f>IF($G$7&lt;A20,0,MIN(1,1-(1-$G$6*(1-$G$6)^A20)^($G$7-A20+1)))</f>
        <v/>
      </c>
    </row>
    <row r="21">
      <c r="A21" s="26" t="n">
        <v>17</v>
      </c>
      <c r="B21" s="27">
        <f>$G$4*(1-$G$5)^A21</f>
        <v/>
      </c>
      <c r="C21" s="23">
        <f>1-(1-$G$5)^A21</f>
        <v/>
      </c>
      <c r="D21" s="23">
        <f>IF($G$7&lt;A21,0,MIN(1,1-(1-$G$6*(1-$G$6)^A21)^($G$7-A21+1)))</f>
        <v/>
      </c>
    </row>
    <row r="22">
      <c r="A22" s="26" t="n">
        <v>18</v>
      </c>
      <c r="B22" s="27">
        <f>$G$4*(1-$G$5)^A22</f>
        <v/>
      </c>
      <c r="C22" s="23">
        <f>1-(1-$G$5)^A22</f>
        <v/>
      </c>
      <c r="D22" s="23">
        <f>IF($G$7&lt;A22,0,MIN(1,1-(1-$G$6*(1-$G$6)^A22)^($G$7-A22+1)))</f>
        <v/>
      </c>
    </row>
    <row r="23">
      <c r="A23" s="26" t="n">
        <v>19</v>
      </c>
      <c r="B23" s="27">
        <f>$G$4*(1-$G$5)^A23</f>
        <v/>
      </c>
      <c r="C23" s="23">
        <f>1-(1-$G$5)^A23</f>
        <v/>
      </c>
      <c r="D23" s="23">
        <f>IF($G$7&lt;A23,0,MIN(1,1-(1-$G$6*(1-$G$6)^A23)^($G$7-A23+1)))</f>
        <v/>
      </c>
    </row>
    <row r="24">
      <c r="A24" s="26" t="n">
        <v>20</v>
      </c>
      <c r="B24" s="27">
        <f>$G$4*(1-$G$5)^A24</f>
        <v/>
      </c>
      <c r="C24" s="23">
        <f>1-(1-$G$5)^A24</f>
        <v/>
      </c>
      <c r="D24" s="23">
        <f>IF($G$7&lt;A24,0,MIN(1,1-(1-$G$6*(1-$G$6)^A24)^($G$7-A24+1)))</f>
        <v/>
      </c>
    </row>
    <row r="26">
      <c r="A26" s="2" t="inlineStr">
        <is>
          <t>Probabilità: approssimazione con trade indipendenti (una serie inizia dopo una vincita). In rosso = più probabile che no.</t>
        </is>
      </c>
    </row>
    <row r="27">
      <c r="A27" s="2" t="inlineStr">
        <is>
          <t>Materiale educativo del corso Riskly, non consulenza finanziaria. Il trading con leva può farti perdere tutto il capitale.</t>
        </is>
      </c>
    </row>
  </sheetData>
  <conditionalFormatting sqref="D5:D24">
    <cfRule type="cellIs" priority="1" operator="greaterThanOrEqual" dxfId="0">
      <formula>0.5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E9A10F"/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" customWidth="1" min="3" max="3"/>
    <col width="60" customWidth="1" min="4" max="4"/>
  </cols>
  <sheetData>
    <row r="1">
      <c r="A1" s="1" t="inlineStr">
        <is>
          <t>Expectancy del sistema</t>
        </is>
      </c>
    </row>
    <row r="2">
      <c r="A2" s="2" t="inlineStr">
        <is>
          <t>Quanto vale, in media, un trade del tuo sistema. Si misura in R.</t>
        </is>
      </c>
    </row>
    <row r="4">
      <c r="A4" s="5" t="inlineStr">
        <is>
          <t>Win rate (%)</t>
        </is>
      </c>
      <c r="B4" s="20" t="n">
        <v>0.45</v>
      </c>
    </row>
    <row r="5">
      <c r="A5" s="5" t="inlineStr">
        <is>
          <t>Guadagno medio quando vinci (R)</t>
        </is>
      </c>
      <c r="B5" s="12" t="n">
        <v>1.8</v>
      </c>
    </row>
    <row r="6">
      <c r="A6" s="5" t="inlineStr">
        <is>
          <t>Perdita media quando perdi (R)</t>
        </is>
      </c>
      <c r="B6" s="12" t="n">
        <v>1</v>
      </c>
    </row>
    <row r="7">
      <c r="A7" s="5" t="inlineStr">
        <is>
          <t>Valore di 1R in euro</t>
        </is>
      </c>
      <c r="B7" s="8" t="n">
        <v>100</v>
      </c>
    </row>
    <row r="8">
      <c r="A8" s="5" t="inlineStr">
        <is>
          <t>Trade previsti</t>
        </is>
      </c>
      <c r="B8" s="18" t="n">
        <v>100</v>
      </c>
    </row>
    <row r="10">
      <c r="A10" s="3" t="inlineStr">
        <is>
          <t>Expectancy (R per trade)</t>
        </is>
      </c>
      <c r="B10" s="29">
        <f>B4*B5-(1-B4)*B6</f>
        <v/>
      </c>
      <c r="D10" s="2" t="inlineStr">
        <is>
          <t>E = W × guadagno medio − (1 − W) × perdita media</t>
        </is>
      </c>
    </row>
    <row r="11">
      <c r="A11" s="5" t="inlineStr">
        <is>
          <t>In euro per trade</t>
        </is>
      </c>
      <c r="B11" s="13">
        <f>B10*B7</f>
        <v/>
      </c>
    </row>
    <row r="12">
      <c r="A12" s="5" t="inlineStr">
        <is>
          <t>Risultato atteso sui trade previsti</t>
        </is>
      </c>
      <c r="B12" s="27">
        <f>B10*B7*B8</f>
        <v/>
      </c>
      <c r="D12" s="2" t="inlineStr">
        <is>
          <t>È una media: il risultato reale di 100 trade può essere molto diverso.</t>
        </is>
      </c>
    </row>
    <row r="13">
      <c r="A13" s="5" t="inlineStr">
        <is>
          <t>Win rate di pareggio</t>
        </is>
      </c>
      <c r="B13" s="23">
        <f>IF(B5+B6=0,0,B6/(B5+B6))</f>
        <v/>
      </c>
      <c r="D13" s="2" t="inlineStr">
        <is>
          <t>Sotto questo win rate, con questi guadagni e perdite, il sistema perde.</t>
        </is>
      </c>
    </row>
    <row r="14">
      <c r="A14" s="5" t="inlineStr">
        <is>
          <t>Giudizio</t>
        </is>
      </c>
      <c r="B14" s="6">
        <f>IF(B10&gt;0,"Vantaggio","Nessun vantaggio")</f>
        <v/>
      </c>
      <c r="D14" s="2" t="inlineStr">
        <is>
          <t>Se non c'è vantaggio, nessuna gestione del rischio lo salva.</t>
        </is>
      </c>
    </row>
    <row r="17">
      <c r="A17" s="2" t="inlineStr">
        <is>
          <t>Materiale educativo del corso Riskly, non consulenza finanziaria. Il trading con leva può farti perdere tutto il capitale.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E9A10F"/>
    <outlinePr summaryBelow="1" summaryRight="1"/>
    <pageSetUpPr/>
  </sheetPr>
  <dimension ref="A1:L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3" customWidth="1" min="5" max="5"/>
    <col width="13" customWidth="1" min="6" max="6"/>
    <col width="10" customWidth="1" min="7" max="7"/>
    <col width="12" customWidth="1" min="8" max="8"/>
    <col width="34" customWidth="1" min="9" max="9"/>
    <col width="4" customWidth="1" min="10" max="10"/>
    <col width="26" customWidth="1" min="11" max="11"/>
    <col width="14" customWidth="1" min="12" max="12"/>
  </cols>
  <sheetData>
    <row r="1">
      <c r="A1" s="1" t="inlineStr">
        <is>
          <t>Journal delle operazioni</t>
        </is>
      </c>
    </row>
    <row r="2">
      <c r="A2" s="2" t="inlineStr">
        <is>
          <t>Una riga per trade. La prima riga è un esempio: sovrascrivila o cancellala.</t>
        </is>
      </c>
    </row>
    <row r="4">
      <c r="A4" s="17" t="inlineStr">
        <is>
          <t>Data</t>
        </is>
      </c>
      <c r="B4" s="17" t="inlineStr">
        <is>
          <t>Simbolo</t>
        </is>
      </c>
      <c r="C4" s="17" t="inlineStr">
        <is>
          <t>Direzione</t>
        </is>
      </c>
      <c r="D4" s="17" t="inlineStr">
        <is>
          <t>Rischio (€)</t>
        </is>
      </c>
      <c r="E4" s="17" t="inlineStr">
        <is>
          <t>Risultato (€)</t>
        </is>
      </c>
      <c r="F4" s="17" t="inlineStr">
        <is>
          <t>Ho seguito il piano?</t>
        </is>
      </c>
      <c r="G4" s="17" t="inlineStr">
        <is>
          <t>R</t>
        </is>
      </c>
      <c r="H4" s="17" t="inlineStr">
        <is>
          <t>Esito</t>
        </is>
      </c>
      <c r="I4" s="17" t="inlineStr">
        <is>
          <t>Nota</t>
        </is>
      </c>
      <c r="K4" s="3" t="inlineStr">
        <is>
          <t>Statistiche</t>
        </is>
      </c>
    </row>
    <row r="5">
      <c r="A5" s="30" t="n">
        <v>46307</v>
      </c>
      <c r="B5" s="31" t="inlineStr">
        <is>
          <t>EURUSD</t>
        </is>
      </c>
      <c r="C5" s="31" t="inlineStr">
        <is>
          <t>long</t>
        </is>
      </c>
      <c r="D5" s="11" t="n">
        <v>100</v>
      </c>
      <c r="E5" s="11" t="n">
        <v>180</v>
      </c>
      <c r="F5" s="31" t="inlineStr">
        <is>
          <t>sì</t>
        </is>
      </c>
      <c r="G5" s="32">
        <f>IF(OR(D5="",D5=0,E5=""),"",E5/D5)</f>
        <v/>
      </c>
      <c r="H5" s="33">
        <f>IF(E5="","",IF(E5&gt;0,"vinto",IF(E5&lt;0,"perso","pari")))</f>
        <v/>
      </c>
      <c r="I5" s="31" t="inlineStr">
        <is>
          <t>Esempio: stop 25 pip, 0,40 lotti, target 45 pip</t>
        </is>
      </c>
      <c r="K5" s="5" t="inlineStr">
        <is>
          <t>Trade registrati</t>
        </is>
      </c>
      <c r="L5" s="21">
        <f>COUNT(E5:E304)</f>
        <v/>
      </c>
    </row>
    <row r="6">
      <c r="A6" s="30" t="n"/>
      <c r="B6" s="31" t="n"/>
      <c r="C6" s="31" t="n"/>
      <c r="D6" s="11" t="n"/>
      <c r="E6" s="11" t="n"/>
      <c r="F6" s="31" t="n"/>
      <c r="G6" s="32">
        <f>IF(OR(D6="",D6=0,E6=""),"",E6/D6)</f>
        <v/>
      </c>
      <c r="H6" s="33">
        <f>IF(E6="","",IF(E6&gt;0,"vinto",IF(E6&lt;0,"perso","pari")))</f>
        <v/>
      </c>
      <c r="I6" s="31" t="n"/>
      <c r="K6" s="5" t="inlineStr">
        <is>
          <t>Vinti</t>
        </is>
      </c>
      <c r="L6" s="21">
        <f>COUNTIF(E5:E304,"&gt;0")</f>
        <v/>
      </c>
    </row>
    <row r="7">
      <c r="A7" s="30" t="n"/>
      <c r="B7" s="31" t="n"/>
      <c r="C7" s="31" t="n"/>
      <c r="D7" s="11" t="n"/>
      <c r="E7" s="11" t="n"/>
      <c r="F7" s="31" t="n"/>
      <c r="G7" s="32">
        <f>IF(OR(D7="",D7=0,E7=""),"",E7/D7)</f>
        <v/>
      </c>
      <c r="H7" s="33">
        <f>IF(E7="","",IF(E7&gt;0,"vinto",IF(E7&lt;0,"perso","pari")))</f>
        <v/>
      </c>
      <c r="I7" s="31" t="n"/>
      <c r="K7" s="5" t="inlineStr">
        <is>
          <t>Win rate</t>
        </is>
      </c>
      <c r="L7" s="23">
        <f>IF(L5=0,0,L6/L5)</f>
        <v/>
      </c>
    </row>
    <row r="8">
      <c r="A8" s="30" t="n"/>
      <c r="B8" s="31" t="n"/>
      <c r="C8" s="31" t="n"/>
      <c r="D8" s="11" t="n"/>
      <c r="E8" s="11" t="n"/>
      <c r="F8" s="31" t="n"/>
      <c r="G8" s="32">
        <f>IF(OR(D8="",D8=0,E8=""),"",E8/D8)</f>
        <v/>
      </c>
      <c r="H8" s="33">
        <f>IF(E8="","",IF(E8&gt;0,"vinto",IF(E8&lt;0,"perso","pari")))</f>
        <v/>
      </c>
      <c r="I8" s="31" t="n"/>
      <c r="K8" s="5" t="inlineStr">
        <is>
          <t>Risultato totale (€)</t>
        </is>
      </c>
      <c r="L8" s="13">
        <f>SUM(E5:E304)</f>
        <v/>
      </c>
    </row>
    <row r="9">
      <c r="A9" s="30" t="n"/>
      <c r="B9" s="31" t="n"/>
      <c r="C9" s="31" t="n"/>
      <c r="D9" s="11" t="n"/>
      <c r="E9" s="11" t="n"/>
      <c r="F9" s="31" t="n"/>
      <c r="G9" s="32">
        <f>IF(OR(D9="",D9=0,E9=""),"",E9/D9)</f>
        <v/>
      </c>
      <c r="H9" s="33">
        <f>IF(E9="","",IF(E9&gt;0,"vinto",IF(E9&lt;0,"perso","pari")))</f>
        <v/>
      </c>
      <c r="I9" s="31" t="n"/>
      <c r="K9" s="5" t="inlineStr">
        <is>
          <t>Totale in R</t>
        </is>
      </c>
      <c r="L9" s="34">
        <f>SUM(G5:G304)</f>
        <v/>
      </c>
    </row>
    <row r="10">
      <c r="A10" s="30" t="n"/>
      <c r="B10" s="31" t="n"/>
      <c r="C10" s="31" t="n"/>
      <c r="D10" s="11" t="n"/>
      <c r="E10" s="11" t="n"/>
      <c r="F10" s="31" t="n"/>
      <c r="G10" s="32">
        <f>IF(OR(D10="",D10=0,E10=""),"",E10/D10)</f>
        <v/>
      </c>
      <c r="H10" s="33">
        <f>IF(E10="","",IF(E10&gt;0,"vinto",IF(E10&lt;0,"perso","pari")))</f>
        <v/>
      </c>
      <c r="I10" s="31" t="n"/>
      <c r="K10" s="5" t="inlineStr">
        <is>
          <t>Media R per trade (expectancy)</t>
        </is>
      </c>
      <c r="L10" s="34">
        <f>IF(L5=0,0,L9/L5)</f>
        <v/>
      </c>
    </row>
    <row r="11">
      <c r="A11" s="30" t="n"/>
      <c r="B11" s="31" t="n"/>
      <c r="C11" s="31" t="n"/>
      <c r="D11" s="11" t="n"/>
      <c r="E11" s="11" t="n"/>
      <c r="F11" s="31" t="n"/>
      <c r="G11" s="32">
        <f>IF(OR(D11="",D11=0,E11=""),"",E11/D11)</f>
        <v/>
      </c>
      <c r="H11" s="33">
        <f>IF(E11="","",IF(E11&gt;0,"vinto",IF(E11&lt;0,"perso","pari")))</f>
        <v/>
      </c>
      <c r="I11" s="31" t="n"/>
      <c r="K11" s="5" t="inlineStr">
        <is>
          <t>Guadagno medio (R)</t>
        </is>
      </c>
      <c r="L11" s="19">
        <f>IFERROR(AVERAGEIF(G5:G304,"&gt;0"),0)</f>
        <v/>
      </c>
    </row>
    <row r="12">
      <c r="A12" s="30" t="n"/>
      <c r="B12" s="31" t="n"/>
      <c r="C12" s="31" t="n"/>
      <c r="D12" s="11" t="n"/>
      <c r="E12" s="11" t="n"/>
      <c r="F12" s="31" t="n"/>
      <c r="G12" s="32">
        <f>IF(OR(D12="",D12=0,E12=""),"",E12/D12)</f>
        <v/>
      </c>
      <c r="H12" s="33">
        <f>IF(E12="","",IF(E12&gt;0,"vinto",IF(E12&lt;0,"perso","pari")))</f>
        <v/>
      </c>
      <c r="I12" s="31" t="n"/>
      <c r="K12" s="5" t="inlineStr">
        <is>
          <t>Perdita media (R)</t>
        </is>
      </c>
      <c r="L12" s="19">
        <f>IFERROR(-AVERAGEIF(G5:G304,"&lt;0"),0)</f>
        <v/>
      </c>
    </row>
    <row r="13">
      <c r="A13" s="30" t="n"/>
      <c r="B13" s="31" t="n"/>
      <c r="C13" s="31" t="n"/>
      <c r="D13" s="11" t="n"/>
      <c r="E13" s="11" t="n"/>
      <c r="F13" s="31" t="n"/>
      <c r="G13" s="32">
        <f>IF(OR(D13="",D13=0,E13=""),"",E13/D13)</f>
        <v/>
      </c>
      <c r="H13" s="33">
        <f>IF(E13="","",IF(E13&gt;0,"vinto",IF(E13&lt;0,"perso","pari")))</f>
        <v/>
      </c>
      <c r="I13" s="31" t="n"/>
      <c r="K13" s="5" t="inlineStr">
        <is>
          <t>Profit factor</t>
        </is>
      </c>
      <c r="L13" s="19">
        <f>IF(SUMIF(E5:E304,"&lt;0")=0,0,SUMIF(E5:E304,"&gt;0")/-SUMIF(E5:E304,"&lt;0"))</f>
        <v/>
      </c>
    </row>
    <row r="14">
      <c r="A14" s="30" t="n"/>
      <c r="B14" s="31" t="n"/>
      <c r="C14" s="31" t="n"/>
      <c r="D14" s="11" t="n"/>
      <c r="E14" s="11" t="n"/>
      <c r="F14" s="31" t="n"/>
      <c r="G14" s="32">
        <f>IF(OR(D14="",D14=0,E14=""),"",E14/D14)</f>
        <v/>
      </c>
      <c r="H14" s="33">
        <f>IF(E14="","",IF(E14&gt;0,"vinto",IF(E14&lt;0,"perso","pari")))</f>
        <v/>
      </c>
      <c r="I14" s="31" t="n"/>
      <c r="K14" s="5" t="inlineStr">
        <is>
          <t>Miglior trade (€)</t>
        </is>
      </c>
      <c r="L14" s="13">
        <f>IF(L5=0,0,MAX(E5:E304))</f>
        <v/>
      </c>
    </row>
    <row r="15">
      <c r="A15" s="30" t="n"/>
      <c r="B15" s="31" t="n"/>
      <c r="C15" s="31" t="n"/>
      <c r="D15" s="11" t="n"/>
      <c r="E15" s="11" t="n"/>
      <c r="F15" s="31" t="n"/>
      <c r="G15" s="32">
        <f>IF(OR(D15="",D15=0,E15=""),"",E15/D15)</f>
        <v/>
      </c>
      <c r="H15" s="33">
        <f>IF(E15="","",IF(E15&gt;0,"vinto",IF(E15&lt;0,"perso","pari")))</f>
        <v/>
      </c>
      <c r="I15" s="31" t="n"/>
      <c r="K15" s="5" t="inlineStr">
        <is>
          <t>Peggior trade (€)</t>
        </is>
      </c>
      <c r="L15" s="13">
        <f>IF(L5=0,0,MIN(E5:E304))</f>
        <v/>
      </c>
    </row>
    <row r="16">
      <c r="A16" s="30" t="n"/>
      <c r="B16" s="31" t="n"/>
      <c r="C16" s="31" t="n"/>
      <c r="D16" s="11" t="n"/>
      <c r="E16" s="11" t="n"/>
      <c r="F16" s="31" t="n"/>
      <c r="G16" s="32">
        <f>IF(OR(D16="",D16=0,E16=""),"",E16/D16)</f>
        <v/>
      </c>
      <c r="H16" s="33">
        <f>IF(E16="","",IF(E16&gt;0,"vinto",IF(E16&lt;0,"perso","pari")))</f>
        <v/>
      </c>
      <c r="I16" s="31" t="n"/>
      <c r="K16" s="5" t="inlineStr">
        <is>
          <t>Rischio medio (€)</t>
        </is>
      </c>
      <c r="L16" s="13">
        <f>IFERROR(AVERAGE(D5:D304),0)</f>
        <v/>
      </c>
    </row>
    <row r="17">
      <c r="A17" s="30" t="n"/>
      <c r="B17" s="31" t="n"/>
      <c r="C17" s="31" t="n"/>
      <c r="D17" s="11" t="n"/>
      <c r="E17" s="11" t="n"/>
      <c r="F17" s="31" t="n"/>
      <c r="G17" s="32">
        <f>IF(OR(D17="",D17=0,E17=""),"",E17/D17)</f>
        <v/>
      </c>
      <c r="H17" s="33">
        <f>IF(E17="","",IF(E17&gt;0,"vinto",IF(E17&lt;0,"perso","pari")))</f>
        <v/>
      </c>
      <c r="I17" s="31" t="n"/>
      <c r="K17" s="5" t="inlineStr">
        <is>
          <t>Piano seguito</t>
        </is>
      </c>
      <c r="L17" s="35">
        <f>IF(COUNTA(F5:F304)=0,0,COUNTIF(F5:F304,"sì")/COUNTA(F5:F304))</f>
        <v/>
      </c>
    </row>
    <row r="18">
      <c r="A18" s="30" t="n"/>
      <c r="B18" s="31" t="n"/>
      <c r="C18" s="31" t="n"/>
      <c r="D18" s="11" t="n"/>
      <c r="E18" s="11" t="n"/>
      <c r="F18" s="31" t="n"/>
      <c r="G18" s="32">
        <f>IF(OR(D18="",D18=0,E18=""),"",E18/D18)</f>
        <v/>
      </c>
      <c r="H18" s="33">
        <f>IF(E18="","",IF(E18&gt;0,"vinto",IF(E18&lt;0,"perso","pari")))</f>
        <v/>
      </c>
      <c r="I18" s="31" t="n"/>
      <c r="K18" s="5" t="inlineStr">
        <is>
          <t>Risultato quando NON segui il piano (€)</t>
        </is>
      </c>
      <c r="L18" s="13">
        <f>SUMIF(F5:F304,"no",E5:E304)</f>
        <v/>
      </c>
    </row>
    <row r="19">
      <c r="A19" s="30" t="n"/>
      <c r="B19" s="31" t="n"/>
      <c r="C19" s="31" t="n"/>
      <c r="D19" s="11" t="n"/>
      <c r="E19" s="11" t="n"/>
      <c r="F19" s="31" t="n"/>
      <c r="G19" s="32">
        <f>IF(OR(D19="",D19=0,E19=""),"",E19/D19)</f>
        <v/>
      </c>
      <c r="H19" s="33">
        <f>IF(E19="","",IF(E19&gt;0,"vinto",IF(E19&lt;0,"perso","pari")))</f>
        <v/>
      </c>
      <c r="I19" s="31" t="n"/>
    </row>
    <row r="20">
      <c r="A20" s="30" t="n"/>
      <c r="B20" s="31" t="n"/>
      <c r="C20" s="31" t="n"/>
      <c r="D20" s="11" t="n"/>
      <c r="E20" s="11" t="n"/>
      <c r="F20" s="31" t="n"/>
      <c r="G20" s="32">
        <f>IF(OR(D20="",D20=0,E20=""),"",E20/D20)</f>
        <v/>
      </c>
      <c r="H20" s="33">
        <f>IF(E20="","",IF(E20&gt;0,"vinto",IF(E20&lt;0,"perso","pari")))</f>
        <v/>
      </c>
      <c r="I20" s="31" t="n"/>
      <c r="K20" s="2" t="inlineStr">
        <is>
          <t>Profit factor: guadagni totali ÷ perdite totali.</t>
        </is>
      </c>
    </row>
    <row r="21">
      <c r="A21" s="30" t="n"/>
      <c r="B21" s="31" t="n"/>
      <c r="C21" s="31" t="n"/>
      <c r="D21" s="11" t="n"/>
      <c r="E21" s="11" t="n"/>
      <c r="F21" s="31" t="n"/>
      <c r="G21" s="32">
        <f>IF(OR(D21="",D21=0,E21=""),"",E21/D21)</f>
        <v/>
      </c>
      <c r="H21" s="33">
        <f>IF(E21="","",IF(E21&gt;0,"vinto",IF(E21&lt;0,"perso","pari")))</f>
        <v/>
      </c>
      <c r="I21" s="31" t="n"/>
      <c r="K21" s="2" t="inlineStr">
        <is>
          <t>Sopra 1 = il sistema guadagna.</t>
        </is>
      </c>
    </row>
    <row r="22">
      <c r="A22" s="30" t="n"/>
      <c r="B22" s="31" t="n"/>
      <c r="C22" s="31" t="n"/>
      <c r="D22" s="11" t="n"/>
      <c r="E22" s="11" t="n"/>
      <c r="F22" s="31" t="n"/>
      <c r="G22" s="32">
        <f>IF(OR(D22="",D22=0,E22=""),"",E22/D22)</f>
        <v/>
      </c>
      <c r="H22" s="33">
        <f>IF(E22="","",IF(E22&gt;0,"vinto",IF(E22&lt;0,"perso","pari")))</f>
        <v/>
      </c>
      <c r="I22" s="31" t="n"/>
    </row>
    <row r="23" ht="52" customHeight="1">
      <c r="A23" s="30" t="n"/>
      <c r="B23" s="31" t="n"/>
      <c r="C23" s="31" t="n"/>
      <c r="D23" s="11" t="n"/>
      <c r="E23" s="11" t="n"/>
      <c r="F23" s="31" t="n"/>
      <c r="G23" s="32">
        <f>IF(OR(D23="",D23=0,E23=""),"",E23/D23)</f>
        <v/>
      </c>
      <c r="H23" s="33">
        <f>IF(E23="","",IF(E23&gt;0,"vinto",IF(E23&lt;0,"perso","pari")))</f>
        <v/>
      </c>
      <c r="I23" s="31" t="n"/>
      <c r="K23" s="36" t="inlineStr">
        <is>
          <t>Materiale educativo del corso Riskly, non consulenza finanziaria. Il trading con leva può farti perdere tutto il capitale.</t>
        </is>
      </c>
    </row>
    <row r="24">
      <c r="A24" s="30" t="n"/>
      <c r="B24" s="31" t="n"/>
      <c r="C24" s="31" t="n"/>
      <c r="D24" s="11" t="n"/>
      <c r="E24" s="11" t="n"/>
      <c r="F24" s="31" t="n"/>
      <c r="G24" s="32">
        <f>IF(OR(D24="",D24=0,E24=""),"",E24/D24)</f>
        <v/>
      </c>
      <c r="H24" s="33">
        <f>IF(E24="","",IF(E24&gt;0,"vinto",IF(E24&lt;0,"perso","pari")))</f>
        <v/>
      </c>
      <c r="I24" s="31" t="n"/>
    </row>
    <row r="25">
      <c r="A25" s="30" t="n"/>
      <c r="B25" s="31" t="n"/>
      <c r="C25" s="31" t="n"/>
      <c r="D25" s="11" t="n"/>
      <c r="E25" s="11" t="n"/>
      <c r="F25" s="31" t="n"/>
      <c r="G25" s="32">
        <f>IF(OR(D25="",D25=0,E25=""),"",E25/D25)</f>
        <v/>
      </c>
      <c r="H25" s="33">
        <f>IF(E25="","",IF(E25&gt;0,"vinto",IF(E25&lt;0,"perso","pari")))</f>
        <v/>
      </c>
      <c r="I25" s="31" t="n"/>
    </row>
    <row r="26">
      <c r="A26" s="30" t="n"/>
      <c r="B26" s="31" t="n"/>
      <c r="C26" s="31" t="n"/>
      <c r="D26" s="11" t="n"/>
      <c r="E26" s="11" t="n"/>
      <c r="F26" s="31" t="n"/>
      <c r="G26" s="32">
        <f>IF(OR(D26="",D26=0,E26=""),"",E26/D26)</f>
        <v/>
      </c>
      <c r="H26" s="33">
        <f>IF(E26="","",IF(E26&gt;0,"vinto",IF(E26&lt;0,"perso","pari")))</f>
        <v/>
      </c>
      <c r="I26" s="31" t="n"/>
    </row>
    <row r="27">
      <c r="A27" s="30" t="n"/>
      <c r="B27" s="31" t="n"/>
      <c r="C27" s="31" t="n"/>
      <c r="D27" s="11" t="n"/>
      <c r="E27" s="11" t="n"/>
      <c r="F27" s="31" t="n"/>
      <c r="G27" s="32">
        <f>IF(OR(D27="",D27=0,E27=""),"",E27/D27)</f>
        <v/>
      </c>
      <c r="H27" s="33">
        <f>IF(E27="","",IF(E27&gt;0,"vinto",IF(E27&lt;0,"perso","pari")))</f>
        <v/>
      </c>
      <c r="I27" s="31" t="n"/>
    </row>
    <row r="28">
      <c r="A28" s="30" t="n"/>
      <c r="B28" s="31" t="n"/>
      <c r="C28" s="31" t="n"/>
      <c r="D28" s="11" t="n"/>
      <c r="E28" s="11" t="n"/>
      <c r="F28" s="31" t="n"/>
      <c r="G28" s="32">
        <f>IF(OR(D28="",D28=0,E28=""),"",E28/D28)</f>
        <v/>
      </c>
      <c r="H28" s="33">
        <f>IF(E28="","",IF(E28&gt;0,"vinto",IF(E28&lt;0,"perso","pari")))</f>
        <v/>
      </c>
      <c r="I28" s="31" t="n"/>
    </row>
    <row r="29">
      <c r="A29" s="30" t="n"/>
      <c r="B29" s="31" t="n"/>
      <c r="C29" s="31" t="n"/>
      <c r="D29" s="11" t="n"/>
      <c r="E29" s="11" t="n"/>
      <c r="F29" s="31" t="n"/>
      <c r="G29" s="32">
        <f>IF(OR(D29="",D29=0,E29=""),"",E29/D29)</f>
        <v/>
      </c>
      <c r="H29" s="33">
        <f>IF(E29="","",IF(E29&gt;0,"vinto",IF(E29&lt;0,"perso","pari")))</f>
        <v/>
      </c>
      <c r="I29" s="31" t="n"/>
    </row>
    <row r="30">
      <c r="A30" s="30" t="n"/>
      <c r="B30" s="31" t="n"/>
      <c r="C30" s="31" t="n"/>
      <c r="D30" s="11" t="n"/>
      <c r="E30" s="11" t="n"/>
      <c r="F30" s="31" t="n"/>
      <c r="G30" s="32">
        <f>IF(OR(D30="",D30=0,E30=""),"",E30/D30)</f>
        <v/>
      </c>
      <c r="H30" s="33">
        <f>IF(E30="","",IF(E30&gt;0,"vinto",IF(E30&lt;0,"perso","pari")))</f>
        <v/>
      </c>
      <c r="I30" s="31" t="n"/>
    </row>
    <row r="31">
      <c r="A31" s="30" t="n"/>
      <c r="B31" s="31" t="n"/>
      <c r="C31" s="31" t="n"/>
      <c r="D31" s="11" t="n"/>
      <c r="E31" s="11" t="n"/>
      <c r="F31" s="31" t="n"/>
      <c r="G31" s="32">
        <f>IF(OR(D31="",D31=0,E31=""),"",E31/D31)</f>
        <v/>
      </c>
      <c r="H31" s="33">
        <f>IF(E31="","",IF(E31&gt;0,"vinto",IF(E31&lt;0,"perso","pari")))</f>
        <v/>
      </c>
      <c r="I31" s="31" t="n"/>
    </row>
    <row r="32">
      <c r="A32" s="30" t="n"/>
      <c r="B32" s="31" t="n"/>
      <c r="C32" s="31" t="n"/>
      <c r="D32" s="11" t="n"/>
      <c r="E32" s="11" t="n"/>
      <c r="F32" s="31" t="n"/>
      <c r="G32" s="32">
        <f>IF(OR(D32="",D32=0,E32=""),"",E32/D32)</f>
        <v/>
      </c>
      <c r="H32" s="33">
        <f>IF(E32="","",IF(E32&gt;0,"vinto",IF(E32&lt;0,"perso","pari")))</f>
        <v/>
      </c>
      <c r="I32" s="31" t="n"/>
    </row>
    <row r="33">
      <c r="A33" s="30" t="n"/>
      <c r="B33" s="31" t="n"/>
      <c r="C33" s="31" t="n"/>
      <c r="D33" s="11" t="n"/>
      <c r="E33" s="11" t="n"/>
      <c r="F33" s="31" t="n"/>
      <c r="G33" s="32">
        <f>IF(OR(D33="",D33=0,E33=""),"",E33/D33)</f>
        <v/>
      </c>
      <c r="H33" s="33">
        <f>IF(E33="","",IF(E33&gt;0,"vinto",IF(E33&lt;0,"perso","pari")))</f>
        <v/>
      </c>
      <c r="I33" s="31" t="n"/>
    </row>
    <row r="34">
      <c r="A34" s="30" t="n"/>
      <c r="B34" s="31" t="n"/>
      <c r="C34" s="31" t="n"/>
      <c r="D34" s="11" t="n"/>
      <c r="E34" s="11" t="n"/>
      <c r="F34" s="31" t="n"/>
      <c r="G34" s="32">
        <f>IF(OR(D34="",D34=0,E34=""),"",E34/D34)</f>
        <v/>
      </c>
      <c r="H34" s="33">
        <f>IF(E34="","",IF(E34&gt;0,"vinto",IF(E34&lt;0,"perso","pari")))</f>
        <v/>
      </c>
      <c r="I34" s="31" t="n"/>
    </row>
    <row r="35">
      <c r="A35" s="30" t="n"/>
      <c r="B35" s="31" t="n"/>
      <c r="C35" s="31" t="n"/>
      <c r="D35" s="11" t="n"/>
      <c r="E35" s="11" t="n"/>
      <c r="F35" s="31" t="n"/>
      <c r="G35" s="32">
        <f>IF(OR(D35="",D35=0,E35=""),"",E35/D35)</f>
        <v/>
      </c>
      <c r="H35" s="33">
        <f>IF(E35="","",IF(E35&gt;0,"vinto",IF(E35&lt;0,"perso","pari")))</f>
        <v/>
      </c>
      <c r="I35" s="31" t="n"/>
    </row>
    <row r="36">
      <c r="A36" s="30" t="n"/>
      <c r="B36" s="31" t="n"/>
      <c r="C36" s="31" t="n"/>
      <c r="D36" s="11" t="n"/>
      <c r="E36" s="11" t="n"/>
      <c r="F36" s="31" t="n"/>
      <c r="G36" s="32">
        <f>IF(OR(D36="",D36=0,E36=""),"",E36/D36)</f>
        <v/>
      </c>
      <c r="H36" s="33">
        <f>IF(E36="","",IF(E36&gt;0,"vinto",IF(E36&lt;0,"perso","pari")))</f>
        <v/>
      </c>
      <c r="I36" s="31" t="n"/>
    </row>
    <row r="37">
      <c r="A37" s="30" t="n"/>
      <c r="B37" s="31" t="n"/>
      <c r="C37" s="31" t="n"/>
      <c r="D37" s="11" t="n"/>
      <c r="E37" s="11" t="n"/>
      <c r="F37" s="31" t="n"/>
      <c r="G37" s="32">
        <f>IF(OR(D37="",D37=0,E37=""),"",E37/D37)</f>
        <v/>
      </c>
      <c r="H37" s="33">
        <f>IF(E37="","",IF(E37&gt;0,"vinto",IF(E37&lt;0,"perso","pari")))</f>
        <v/>
      </c>
      <c r="I37" s="31" t="n"/>
    </row>
    <row r="38">
      <c r="A38" s="30" t="n"/>
      <c r="B38" s="31" t="n"/>
      <c r="C38" s="31" t="n"/>
      <c r="D38" s="11" t="n"/>
      <c r="E38" s="11" t="n"/>
      <c r="F38" s="31" t="n"/>
      <c r="G38" s="32">
        <f>IF(OR(D38="",D38=0,E38=""),"",E38/D38)</f>
        <v/>
      </c>
      <c r="H38" s="33">
        <f>IF(E38="","",IF(E38&gt;0,"vinto",IF(E38&lt;0,"perso","pari")))</f>
        <v/>
      </c>
      <c r="I38" s="31" t="n"/>
    </row>
    <row r="39">
      <c r="A39" s="30" t="n"/>
      <c r="B39" s="31" t="n"/>
      <c r="C39" s="31" t="n"/>
      <c r="D39" s="11" t="n"/>
      <c r="E39" s="11" t="n"/>
      <c r="F39" s="31" t="n"/>
      <c r="G39" s="32">
        <f>IF(OR(D39="",D39=0,E39=""),"",E39/D39)</f>
        <v/>
      </c>
      <c r="H39" s="33">
        <f>IF(E39="","",IF(E39&gt;0,"vinto",IF(E39&lt;0,"perso","pari")))</f>
        <v/>
      </c>
      <c r="I39" s="31" t="n"/>
    </row>
    <row r="40">
      <c r="A40" s="30" t="n"/>
      <c r="B40" s="31" t="n"/>
      <c r="C40" s="31" t="n"/>
      <c r="D40" s="11" t="n"/>
      <c r="E40" s="11" t="n"/>
      <c r="F40" s="31" t="n"/>
      <c r="G40" s="32">
        <f>IF(OR(D40="",D40=0,E40=""),"",E40/D40)</f>
        <v/>
      </c>
      <c r="H40" s="33">
        <f>IF(E40="","",IF(E40&gt;0,"vinto",IF(E40&lt;0,"perso","pari")))</f>
        <v/>
      </c>
      <c r="I40" s="31" t="n"/>
    </row>
    <row r="41">
      <c r="A41" s="30" t="n"/>
      <c r="B41" s="31" t="n"/>
      <c r="C41" s="31" t="n"/>
      <c r="D41" s="11" t="n"/>
      <c r="E41" s="11" t="n"/>
      <c r="F41" s="31" t="n"/>
      <c r="G41" s="32">
        <f>IF(OR(D41="",D41=0,E41=""),"",E41/D41)</f>
        <v/>
      </c>
      <c r="H41" s="33">
        <f>IF(E41="","",IF(E41&gt;0,"vinto",IF(E41&lt;0,"perso","pari")))</f>
        <v/>
      </c>
      <c r="I41" s="31" t="n"/>
    </row>
    <row r="42">
      <c r="A42" s="30" t="n"/>
      <c r="B42" s="31" t="n"/>
      <c r="C42" s="31" t="n"/>
      <c r="D42" s="11" t="n"/>
      <c r="E42" s="11" t="n"/>
      <c r="F42" s="31" t="n"/>
      <c r="G42" s="32">
        <f>IF(OR(D42="",D42=0,E42=""),"",E42/D42)</f>
        <v/>
      </c>
      <c r="H42" s="33">
        <f>IF(E42="","",IF(E42&gt;0,"vinto",IF(E42&lt;0,"perso","pari")))</f>
        <v/>
      </c>
      <c r="I42" s="31" t="n"/>
    </row>
    <row r="43">
      <c r="A43" s="30" t="n"/>
      <c r="B43" s="31" t="n"/>
      <c r="C43" s="31" t="n"/>
      <c r="D43" s="11" t="n"/>
      <c r="E43" s="11" t="n"/>
      <c r="F43" s="31" t="n"/>
      <c r="G43" s="32">
        <f>IF(OR(D43="",D43=0,E43=""),"",E43/D43)</f>
        <v/>
      </c>
      <c r="H43" s="33">
        <f>IF(E43="","",IF(E43&gt;0,"vinto",IF(E43&lt;0,"perso","pari")))</f>
        <v/>
      </c>
      <c r="I43" s="31" t="n"/>
    </row>
    <row r="44">
      <c r="A44" s="30" t="n"/>
      <c r="B44" s="31" t="n"/>
      <c r="C44" s="31" t="n"/>
      <c r="D44" s="11" t="n"/>
      <c r="E44" s="11" t="n"/>
      <c r="F44" s="31" t="n"/>
      <c r="G44" s="32">
        <f>IF(OR(D44="",D44=0,E44=""),"",E44/D44)</f>
        <v/>
      </c>
      <c r="H44" s="33">
        <f>IF(E44="","",IF(E44&gt;0,"vinto",IF(E44&lt;0,"perso","pari")))</f>
        <v/>
      </c>
      <c r="I44" s="31" t="n"/>
    </row>
    <row r="45">
      <c r="A45" s="30" t="n"/>
      <c r="B45" s="31" t="n"/>
      <c r="C45" s="31" t="n"/>
      <c r="D45" s="11" t="n"/>
      <c r="E45" s="11" t="n"/>
      <c r="F45" s="31" t="n"/>
      <c r="G45" s="32">
        <f>IF(OR(D45="",D45=0,E45=""),"",E45/D45)</f>
        <v/>
      </c>
      <c r="H45" s="33">
        <f>IF(E45="","",IF(E45&gt;0,"vinto",IF(E45&lt;0,"perso","pari")))</f>
        <v/>
      </c>
      <c r="I45" s="31" t="n"/>
    </row>
    <row r="46">
      <c r="A46" s="30" t="n"/>
      <c r="B46" s="31" t="n"/>
      <c r="C46" s="31" t="n"/>
      <c r="D46" s="11" t="n"/>
      <c r="E46" s="11" t="n"/>
      <c r="F46" s="31" t="n"/>
      <c r="G46" s="32">
        <f>IF(OR(D46="",D46=0,E46=""),"",E46/D46)</f>
        <v/>
      </c>
      <c r="H46" s="33">
        <f>IF(E46="","",IF(E46&gt;0,"vinto",IF(E46&lt;0,"perso","pari")))</f>
        <v/>
      </c>
      <c r="I46" s="31" t="n"/>
    </row>
    <row r="47">
      <c r="A47" s="30" t="n"/>
      <c r="B47" s="31" t="n"/>
      <c r="C47" s="31" t="n"/>
      <c r="D47" s="11" t="n"/>
      <c r="E47" s="11" t="n"/>
      <c r="F47" s="31" t="n"/>
      <c r="G47" s="32">
        <f>IF(OR(D47="",D47=0,E47=""),"",E47/D47)</f>
        <v/>
      </c>
      <c r="H47" s="33">
        <f>IF(E47="","",IF(E47&gt;0,"vinto",IF(E47&lt;0,"perso","pari")))</f>
        <v/>
      </c>
      <c r="I47" s="31" t="n"/>
    </row>
    <row r="48">
      <c r="A48" s="30" t="n"/>
      <c r="B48" s="31" t="n"/>
      <c r="C48" s="31" t="n"/>
      <c r="D48" s="11" t="n"/>
      <c r="E48" s="11" t="n"/>
      <c r="F48" s="31" t="n"/>
      <c r="G48" s="32">
        <f>IF(OR(D48="",D48=0,E48=""),"",E48/D48)</f>
        <v/>
      </c>
      <c r="H48" s="33">
        <f>IF(E48="","",IF(E48&gt;0,"vinto",IF(E48&lt;0,"perso","pari")))</f>
        <v/>
      </c>
      <c r="I48" s="31" t="n"/>
    </row>
    <row r="49">
      <c r="A49" s="30" t="n"/>
      <c r="B49" s="31" t="n"/>
      <c r="C49" s="31" t="n"/>
      <c r="D49" s="11" t="n"/>
      <c r="E49" s="11" t="n"/>
      <c r="F49" s="31" t="n"/>
      <c r="G49" s="32">
        <f>IF(OR(D49="",D49=0,E49=""),"",E49/D49)</f>
        <v/>
      </c>
      <c r="H49" s="33">
        <f>IF(E49="","",IF(E49&gt;0,"vinto",IF(E49&lt;0,"perso","pari")))</f>
        <v/>
      </c>
      <c r="I49" s="31" t="n"/>
    </row>
    <row r="50">
      <c r="A50" s="30" t="n"/>
      <c r="B50" s="31" t="n"/>
      <c r="C50" s="31" t="n"/>
      <c r="D50" s="11" t="n"/>
      <c r="E50" s="11" t="n"/>
      <c r="F50" s="31" t="n"/>
      <c r="G50" s="32">
        <f>IF(OR(D50="",D50=0,E50=""),"",E50/D50)</f>
        <v/>
      </c>
      <c r="H50" s="33">
        <f>IF(E50="","",IF(E50&gt;0,"vinto",IF(E50&lt;0,"perso","pari")))</f>
        <v/>
      </c>
      <c r="I50" s="31" t="n"/>
    </row>
    <row r="51">
      <c r="A51" s="30" t="n"/>
      <c r="B51" s="31" t="n"/>
      <c r="C51" s="31" t="n"/>
      <c r="D51" s="11" t="n"/>
      <c r="E51" s="11" t="n"/>
      <c r="F51" s="31" t="n"/>
      <c r="G51" s="32">
        <f>IF(OR(D51="",D51=0,E51=""),"",E51/D51)</f>
        <v/>
      </c>
      <c r="H51" s="33">
        <f>IF(E51="","",IF(E51&gt;0,"vinto",IF(E51&lt;0,"perso","pari")))</f>
        <v/>
      </c>
      <c r="I51" s="31" t="n"/>
    </row>
    <row r="52">
      <c r="A52" s="30" t="n"/>
      <c r="B52" s="31" t="n"/>
      <c r="C52" s="31" t="n"/>
      <c r="D52" s="11" t="n"/>
      <c r="E52" s="11" t="n"/>
      <c r="F52" s="31" t="n"/>
      <c r="G52" s="32">
        <f>IF(OR(D52="",D52=0,E52=""),"",E52/D52)</f>
        <v/>
      </c>
      <c r="H52" s="33">
        <f>IF(E52="","",IF(E52&gt;0,"vinto",IF(E52&lt;0,"perso","pari")))</f>
        <v/>
      </c>
      <c r="I52" s="31" t="n"/>
    </row>
    <row r="53">
      <c r="A53" s="30" t="n"/>
      <c r="B53" s="31" t="n"/>
      <c r="C53" s="31" t="n"/>
      <c r="D53" s="11" t="n"/>
      <c r="E53" s="11" t="n"/>
      <c r="F53" s="31" t="n"/>
      <c r="G53" s="32">
        <f>IF(OR(D53="",D53=0,E53=""),"",E53/D53)</f>
        <v/>
      </c>
      <c r="H53" s="33">
        <f>IF(E53="","",IF(E53&gt;0,"vinto",IF(E53&lt;0,"perso","pari")))</f>
        <v/>
      </c>
      <c r="I53" s="31" t="n"/>
    </row>
    <row r="54">
      <c r="A54" s="30" t="n"/>
      <c r="B54" s="31" t="n"/>
      <c r="C54" s="31" t="n"/>
      <c r="D54" s="11" t="n"/>
      <c r="E54" s="11" t="n"/>
      <c r="F54" s="31" t="n"/>
      <c r="G54" s="32">
        <f>IF(OR(D54="",D54=0,E54=""),"",E54/D54)</f>
        <v/>
      </c>
      <c r="H54" s="33">
        <f>IF(E54="","",IF(E54&gt;0,"vinto",IF(E54&lt;0,"perso","pari")))</f>
        <v/>
      </c>
      <c r="I54" s="31" t="n"/>
    </row>
    <row r="55">
      <c r="A55" s="30" t="n"/>
      <c r="B55" s="31" t="n"/>
      <c r="C55" s="31" t="n"/>
      <c r="D55" s="11" t="n"/>
      <c r="E55" s="11" t="n"/>
      <c r="F55" s="31" t="n"/>
      <c r="G55" s="32">
        <f>IF(OR(D55="",D55=0,E55=""),"",E55/D55)</f>
        <v/>
      </c>
      <c r="H55" s="33">
        <f>IF(E55="","",IF(E55&gt;0,"vinto",IF(E55&lt;0,"perso","pari")))</f>
        <v/>
      </c>
      <c r="I55" s="31" t="n"/>
    </row>
    <row r="56">
      <c r="A56" s="30" t="n"/>
      <c r="B56" s="31" t="n"/>
      <c r="C56" s="31" t="n"/>
      <c r="D56" s="11" t="n"/>
      <c r="E56" s="11" t="n"/>
      <c r="F56" s="31" t="n"/>
      <c r="G56" s="32">
        <f>IF(OR(D56="",D56=0,E56=""),"",E56/D56)</f>
        <v/>
      </c>
      <c r="H56" s="33">
        <f>IF(E56="","",IF(E56&gt;0,"vinto",IF(E56&lt;0,"perso","pari")))</f>
        <v/>
      </c>
      <c r="I56" s="31" t="n"/>
    </row>
    <row r="57">
      <c r="A57" s="30" t="n"/>
      <c r="B57" s="31" t="n"/>
      <c r="C57" s="31" t="n"/>
      <c r="D57" s="11" t="n"/>
      <c r="E57" s="11" t="n"/>
      <c r="F57" s="31" t="n"/>
      <c r="G57" s="32">
        <f>IF(OR(D57="",D57=0,E57=""),"",E57/D57)</f>
        <v/>
      </c>
      <c r="H57" s="33">
        <f>IF(E57="","",IF(E57&gt;0,"vinto",IF(E57&lt;0,"perso","pari")))</f>
        <v/>
      </c>
      <c r="I57" s="31" t="n"/>
    </row>
    <row r="58">
      <c r="A58" s="30" t="n"/>
      <c r="B58" s="31" t="n"/>
      <c r="C58" s="31" t="n"/>
      <c r="D58" s="11" t="n"/>
      <c r="E58" s="11" t="n"/>
      <c r="F58" s="31" t="n"/>
      <c r="G58" s="32">
        <f>IF(OR(D58="",D58=0,E58=""),"",E58/D58)</f>
        <v/>
      </c>
      <c r="H58" s="33">
        <f>IF(E58="","",IF(E58&gt;0,"vinto",IF(E58&lt;0,"perso","pari")))</f>
        <v/>
      </c>
      <c r="I58" s="31" t="n"/>
    </row>
    <row r="59">
      <c r="A59" s="30" t="n"/>
      <c r="B59" s="31" t="n"/>
      <c r="C59" s="31" t="n"/>
      <c r="D59" s="11" t="n"/>
      <c r="E59" s="11" t="n"/>
      <c r="F59" s="31" t="n"/>
      <c r="G59" s="32">
        <f>IF(OR(D59="",D59=0,E59=""),"",E59/D59)</f>
        <v/>
      </c>
      <c r="H59" s="33">
        <f>IF(E59="","",IF(E59&gt;0,"vinto",IF(E59&lt;0,"perso","pari")))</f>
        <v/>
      </c>
      <c r="I59" s="31" t="n"/>
    </row>
    <row r="60">
      <c r="A60" s="30" t="n"/>
      <c r="B60" s="31" t="n"/>
      <c r="C60" s="31" t="n"/>
      <c r="D60" s="11" t="n"/>
      <c r="E60" s="11" t="n"/>
      <c r="F60" s="31" t="n"/>
      <c r="G60" s="32">
        <f>IF(OR(D60="",D60=0,E60=""),"",E60/D60)</f>
        <v/>
      </c>
      <c r="H60" s="33">
        <f>IF(E60="","",IF(E60&gt;0,"vinto",IF(E60&lt;0,"perso","pari")))</f>
        <v/>
      </c>
      <c r="I60" s="31" t="n"/>
    </row>
    <row r="61">
      <c r="A61" s="30" t="n"/>
      <c r="B61" s="31" t="n"/>
      <c r="C61" s="31" t="n"/>
      <c r="D61" s="11" t="n"/>
      <c r="E61" s="11" t="n"/>
      <c r="F61" s="31" t="n"/>
      <c r="G61" s="32">
        <f>IF(OR(D61="",D61=0,E61=""),"",E61/D61)</f>
        <v/>
      </c>
      <c r="H61" s="33">
        <f>IF(E61="","",IF(E61&gt;0,"vinto",IF(E61&lt;0,"perso","pari")))</f>
        <v/>
      </c>
      <c r="I61" s="31" t="n"/>
    </row>
    <row r="62">
      <c r="A62" s="30" t="n"/>
      <c r="B62" s="31" t="n"/>
      <c r="C62" s="31" t="n"/>
      <c r="D62" s="11" t="n"/>
      <c r="E62" s="11" t="n"/>
      <c r="F62" s="31" t="n"/>
      <c r="G62" s="32">
        <f>IF(OR(D62="",D62=0,E62=""),"",E62/D62)</f>
        <v/>
      </c>
      <c r="H62" s="33">
        <f>IF(E62="","",IF(E62&gt;0,"vinto",IF(E62&lt;0,"perso","pari")))</f>
        <v/>
      </c>
      <c r="I62" s="31" t="n"/>
    </row>
    <row r="63">
      <c r="A63" s="30" t="n"/>
      <c r="B63" s="31" t="n"/>
      <c r="C63" s="31" t="n"/>
      <c r="D63" s="11" t="n"/>
      <c r="E63" s="11" t="n"/>
      <c r="F63" s="31" t="n"/>
      <c r="G63" s="32">
        <f>IF(OR(D63="",D63=0,E63=""),"",E63/D63)</f>
        <v/>
      </c>
      <c r="H63" s="33">
        <f>IF(E63="","",IF(E63&gt;0,"vinto",IF(E63&lt;0,"perso","pari")))</f>
        <v/>
      </c>
      <c r="I63" s="31" t="n"/>
    </row>
    <row r="64">
      <c r="A64" s="30" t="n"/>
      <c r="B64" s="31" t="n"/>
      <c r="C64" s="31" t="n"/>
      <c r="D64" s="11" t="n"/>
      <c r="E64" s="11" t="n"/>
      <c r="F64" s="31" t="n"/>
      <c r="G64" s="32">
        <f>IF(OR(D64="",D64=0,E64=""),"",E64/D64)</f>
        <v/>
      </c>
      <c r="H64" s="33">
        <f>IF(E64="","",IF(E64&gt;0,"vinto",IF(E64&lt;0,"perso","pari")))</f>
        <v/>
      </c>
      <c r="I64" s="31" t="n"/>
    </row>
    <row r="65">
      <c r="A65" s="30" t="n"/>
      <c r="B65" s="31" t="n"/>
      <c r="C65" s="31" t="n"/>
      <c r="D65" s="11" t="n"/>
      <c r="E65" s="11" t="n"/>
      <c r="F65" s="31" t="n"/>
      <c r="G65" s="32">
        <f>IF(OR(D65="",D65=0,E65=""),"",E65/D65)</f>
        <v/>
      </c>
      <c r="H65" s="33">
        <f>IF(E65="","",IF(E65&gt;0,"vinto",IF(E65&lt;0,"perso","pari")))</f>
        <v/>
      </c>
      <c r="I65" s="31" t="n"/>
    </row>
    <row r="66">
      <c r="A66" s="30" t="n"/>
      <c r="B66" s="31" t="n"/>
      <c r="C66" s="31" t="n"/>
      <c r="D66" s="11" t="n"/>
      <c r="E66" s="11" t="n"/>
      <c r="F66" s="31" t="n"/>
      <c r="G66" s="32">
        <f>IF(OR(D66="",D66=0,E66=""),"",E66/D66)</f>
        <v/>
      </c>
      <c r="H66" s="33">
        <f>IF(E66="","",IF(E66&gt;0,"vinto",IF(E66&lt;0,"perso","pari")))</f>
        <v/>
      </c>
      <c r="I66" s="31" t="n"/>
    </row>
    <row r="67">
      <c r="A67" s="30" t="n"/>
      <c r="B67" s="31" t="n"/>
      <c r="C67" s="31" t="n"/>
      <c r="D67" s="11" t="n"/>
      <c r="E67" s="11" t="n"/>
      <c r="F67" s="31" t="n"/>
      <c r="G67" s="32">
        <f>IF(OR(D67="",D67=0,E67=""),"",E67/D67)</f>
        <v/>
      </c>
      <c r="H67" s="33">
        <f>IF(E67="","",IF(E67&gt;0,"vinto",IF(E67&lt;0,"perso","pari")))</f>
        <v/>
      </c>
      <c r="I67" s="31" t="n"/>
    </row>
    <row r="68">
      <c r="A68" s="30" t="n"/>
      <c r="B68" s="31" t="n"/>
      <c r="C68" s="31" t="n"/>
      <c r="D68" s="11" t="n"/>
      <c r="E68" s="11" t="n"/>
      <c r="F68" s="31" t="n"/>
      <c r="G68" s="32">
        <f>IF(OR(D68="",D68=0,E68=""),"",E68/D68)</f>
        <v/>
      </c>
      <c r="H68" s="33">
        <f>IF(E68="","",IF(E68&gt;0,"vinto",IF(E68&lt;0,"perso","pari")))</f>
        <v/>
      </c>
      <c r="I68" s="31" t="n"/>
    </row>
    <row r="69">
      <c r="A69" s="30" t="n"/>
      <c r="B69" s="31" t="n"/>
      <c r="C69" s="31" t="n"/>
      <c r="D69" s="11" t="n"/>
      <c r="E69" s="11" t="n"/>
      <c r="F69" s="31" t="n"/>
      <c r="G69" s="32">
        <f>IF(OR(D69="",D69=0,E69=""),"",E69/D69)</f>
        <v/>
      </c>
      <c r="H69" s="33">
        <f>IF(E69="","",IF(E69&gt;0,"vinto",IF(E69&lt;0,"perso","pari")))</f>
        <v/>
      </c>
      <c r="I69" s="31" t="n"/>
    </row>
    <row r="70">
      <c r="A70" s="30" t="n"/>
      <c r="B70" s="31" t="n"/>
      <c r="C70" s="31" t="n"/>
      <c r="D70" s="11" t="n"/>
      <c r="E70" s="11" t="n"/>
      <c r="F70" s="31" t="n"/>
      <c r="G70" s="32">
        <f>IF(OR(D70="",D70=0,E70=""),"",E70/D70)</f>
        <v/>
      </c>
      <c r="H70" s="33">
        <f>IF(E70="","",IF(E70&gt;0,"vinto",IF(E70&lt;0,"perso","pari")))</f>
        <v/>
      </c>
      <c r="I70" s="31" t="n"/>
    </row>
    <row r="71">
      <c r="A71" s="30" t="n"/>
      <c r="B71" s="31" t="n"/>
      <c r="C71" s="31" t="n"/>
      <c r="D71" s="11" t="n"/>
      <c r="E71" s="11" t="n"/>
      <c r="F71" s="31" t="n"/>
      <c r="G71" s="32">
        <f>IF(OR(D71="",D71=0,E71=""),"",E71/D71)</f>
        <v/>
      </c>
      <c r="H71" s="33">
        <f>IF(E71="","",IF(E71&gt;0,"vinto",IF(E71&lt;0,"perso","pari")))</f>
        <v/>
      </c>
      <c r="I71" s="31" t="n"/>
    </row>
    <row r="72">
      <c r="A72" s="30" t="n"/>
      <c r="B72" s="31" t="n"/>
      <c r="C72" s="31" t="n"/>
      <c r="D72" s="11" t="n"/>
      <c r="E72" s="11" t="n"/>
      <c r="F72" s="31" t="n"/>
      <c r="G72" s="32">
        <f>IF(OR(D72="",D72=0,E72=""),"",E72/D72)</f>
        <v/>
      </c>
      <c r="H72" s="33">
        <f>IF(E72="","",IF(E72&gt;0,"vinto",IF(E72&lt;0,"perso","pari")))</f>
        <v/>
      </c>
      <c r="I72" s="31" t="n"/>
    </row>
    <row r="73">
      <c r="A73" s="30" t="n"/>
      <c r="B73" s="31" t="n"/>
      <c r="C73" s="31" t="n"/>
      <c r="D73" s="11" t="n"/>
      <c r="E73" s="11" t="n"/>
      <c r="F73" s="31" t="n"/>
      <c r="G73" s="32">
        <f>IF(OR(D73="",D73=0,E73=""),"",E73/D73)</f>
        <v/>
      </c>
      <c r="H73" s="33">
        <f>IF(E73="","",IF(E73&gt;0,"vinto",IF(E73&lt;0,"perso","pari")))</f>
        <v/>
      </c>
      <c r="I73" s="31" t="n"/>
    </row>
    <row r="74">
      <c r="A74" s="30" t="n"/>
      <c r="B74" s="31" t="n"/>
      <c r="C74" s="31" t="n"/>
      <c r="D74" s="11" t="n"/>
      <c r="E74" s="11" t="n"/>
      <c r="F74" s="31" t="n"/>
      <c r="G74" s="32">
        <f>IF(OR(D74="",D74=0,E74=""),"",E74/D74)</f>
        <v/>
      </c>
      <c r="H74" s="33">
        <f>IF(E74="","",IF(E74&gt;0,"vinto",IF(E74&lt;0,"perso","pari")))</f>
        <v/>
      </c>
      <c r="I74" s="31" t="n"/>
    </row>
    <row r="75">
      <c r="A75" s="30" t="n"/>
      <c r="B75" s="31" t="n"/>
      <c r="C75" s="31" t="n"/>
      <c r="D75" s="11" t="n"/>
      <c r="E75" s="11" t="n"/>
      <c r="F75" s="31" t="n"/>
      <c r="G75" s="32">
        <f>IF(OR(D75="",D75=0,E75=""),"",E75/D75)</f>
        <v/>
      </c>
      <c r="H75" s="33">
        <f>IF(E75="","",IF(E75&gt;0,"vinto",IF(E75&lt;0,"perso","pari")))</f>
        <v/>
      </c>
      <c r="I75" s="31" t="n"/>
    </row>
    <row r="76">
      <c r="A76" s="30" t="n"/>
      <c r="B76" s="31" t="n"/>
      <c r="C76" s="31" t="n"/>
      <c r="D76" s="11" t="n"/>
      <c r="E76" s="11" t="n"/>
      <c r="F76" s="31" t="n"/>
      <c r="G76" s="32">
        <f>IF(OR(D76="",D76=0,E76=""),"",E76/D76)</f>
        <v/>
      </c>
      <c r="H76" s="33">
        <f>IF(E76="","",IF(E76&gt;0,"vinto",IF(E76&lt;0,"perso","pari")))</f>
        <v/>
      </c>
      <c r="I76" s="31" t="n"/>
    </row>
    <row r="77">
      <c r="A77" s="30" t="n"/>
      <c r="B77" s="31" t="n"/>
      <c r="C77" s="31" t="n"/>
      <c r="D77" s="11" t="n"/>
      <c r="E77" s="11" t="n"/>
      <c r="F77" s="31" t="n"/>
      <c r="G77" s="32">
        <f>IF(OR(D77="",D77=0,E77=""),"",E77/D77)</f>
        <v/>
      </c>
      <c r="H77" s="33">
        <f>IF(E77="","",IF(E77&gt;0,"vinto",IF(E77&lt;0,"perso","pari")))</f>
        <v/>
      </c>
      <c r="I77" s="31" t="n"/>
    </row>
    <row r="78">
      <c r="A78" s="30" t="n"/>
      <c r="B78" s="31" t="n"/>
      <c r="C78" s="31" t="n"/>
      <c r="D78" s="11" t="n"/>
      <c r="E78" s="11" t="n"/>
      <c r="F78" s="31" t="n"/>
      <c r="G78" s="32">
        <f>IF(OR(D78="",D78=0,E78=""),"",E78/D78)</f>
        <v/>
      </c>
      <c r="H78" s="33">
        <f>IF(E78="","",IF(E78&gt;0,"vinto",IF(E78&lt;0,"perso","pari")))</f>
        <v/>
      </c>
      <c r="I78" s="31" t="n"/>
    </row>
    <row r="79">
      <c r="A79" s="30" t="n"/>
      <c r="B79" s="31" t="n"/>
      <c r="C79" s="31" t="n"/>
      <c r="D79" s="11" t="n"/>
      <c r="E79" s="11" t="n"/>
      <c r="F79" s="31" t="n"/>
      <c r="G79" s="32">
        <f>IF(OR(D79="",D79=0,E79=""),"",E79/D79)</f>
        <v/>
      </c>
      <c r="H79" s="33">
        <f>IF(E79="","",IF(E79&gt;0,"vinto",IF(E79&lt;0,"perso","pari")))</f>
        <v/>
      </c>
      <c r="I79" s="31" t="n"/>
    </row>
    <row r="80">
      <c r="A80" s="30" t="n"/>
      <c r="B80" s="31" t="n"/>
      <c r="C80" s="31" t="n"/>
      <c r="D80" s="11" t="n"/>
      <c r="E80" s="11" t="n"/>
      <c r="F80" s="31" t="n"/>
      <c r="G80" s="32">
        <f>IF(OR(D80="",D80=0,E80=""),"",E80/D80)</f>
        <v/>
      </c>
      <c r="H80" s="33">
        <f>IF(E80="","",IF(E80&gt;0,"vinto",IF(E80&lt;0,"perso","pari")))</f>
        <v/>
      </c>
      <c r="I80" s="31" t="n"/>
    </row>
    <row r="81">
      <c r="A81" s="30" t="n"/>
      <c r="B81" s="31" t="n"/>
      <c r="C81" s="31" t="n"/>
      <c r="D81" s="11" t="n"/>
      <c r="E81" s="11" t="n"/>
      <c r="F81" s="31" t="n"/>
      <c r="G81" s="32">
        <f>IF(OR(D81="",D81=0,E81=""),"",E81/D81)</f>
        <v/>
      </c>
      <c r="H81" s="33">
        <f>IF(E81="","",IF(E81&gt;0,"vinto",IF(E81&lt;0,"perso","pari")))</f>
        <v/>
      </c>
      <c r="I81" s="31" t="n"/>
    </row>
    <row r="82">
      <c r="A82" s="30" t="n"/>
      <c r="B82" s="31" t="n"/>
      <c r="C82" s="31" t="n"/>
      <c r="D82" s="11" t="n"/>
      <c r="E82" s="11" t="n"/>
      <c r="F82" s="31" t="n"/>
      <c r="G82" s="32">
        <f>IF(OR(D82="",D82=0,E82=""),"",E82/D82)</f>
        <v/>
      </c>
      <c r="H82" s="33">
        <f>IF(E82="","",IF(E82&gt;0,"vinto",IF(E82&lt;0,"perso","pari")))</f>
        <v/>
      </c>
      <c r="I82" s="31" t="n"/>
    </row>
    <row r="83">
      <c r="A83" s="30" t="n"/>
      <c r="B83" s="31" t="n"/>
      <c r="C83" s="31" t="n"/>
      <c r="D83" s="11" t="n"/>
      <c r="E83" s="11" t="n"/>
      <c r="F83" s="31" t="n"/>
      <c r="G83" s="32">
        <f>IF(OR(D83="",D83=0,E83=""),"",E83/D83)</f>
        <v/>
      </c>
      <c r="H83" s="33">
        <f>IF(E83="","",IF(E83&gt;0,"vinto",IF(E83&lt;0,"perso","pari")))</f>
        <v/>
      </c>
      <c r="I83" s="31" t="n"/>
    </row>
    <row r="84">
      <c r="A84" s="30" t="n"/>
      <c r="B84" s="31" t="n"/>
      <c r="C84" s="31" t="n"/>
      <c r="D84" s="11" t="n"/>
      <c r="E84" s="11" t="n"/>
      <c r="F84" s="31" t="n"/>
      <c r="G84" s="32">
        <f>IF(OR(D84="",D84=0,E84=""),"",E84/D84)</f>
        <v/>
      </c>
      <c r="H84" s="33">
        <f>IF(E84="","",IF(E84&gt;0,"vinto",IF(E84&lt;0,"perso","pari")))</f>
        <v/>
      </c>
      <c r="I84" s="31" t="n"/>
    </row>
    <row r="85">
      <c r="A85" s="30" t="n"/>
      <c r="B85" s="31" t="n"/>
      <c r="C85" s="31" t="n"/>
      <c r="D85" s="11" t="n"/>
      <c r="E85" s="11" t="n"/>
      <c r="F85" s="31" t="n"/>
      <c r="G85" s="32">
        <f>IF(OR(D85="",D85=0,E85=""),"",E85/D85)</f>
        <v/>
      </c>
      <c r="H85" s="33">
        <f>IF(E85="","",IF(E85&gt;0,"vinto",IF(E85&lt;0,"perso","pari")))</f>
        <v/>
      </c>
      <c r="I85" s="31" t="n"/>
    </row>
    <row r="86">
      <c r="A86" s="30" t="n"/>
      <c r="B86" s="31" t="n"/>
      <c r="C86" s="31" t="n"/>
      <c r="D86" s="11" t="n"/>
      <c r="E86" s="11" t="n"/>
      <c r="F86" s="31" t="n"/>
      <c r="G86" s="32">
        <f>IF(OR(D86="",D86=0,E86=""),"",E86/D86)</f>
        <v/>
      </c>
      <c r="H86" s="33">
        <f>IF(E86="","",IF(E86&gt;0,"vinto",IF(E86&lt;0,"perso","pari")))</f>
        <v/>
      </c>
      <c r="I86" s="31" t="n"/>
    </row>
    <row r="87">
      <c r="A87" s="30" t="n"/>
      <c r="B87" s="31" t="n"/>
      <c r="C87" s="31" t="n"/>
      <c r="D87" s="11" t="n"/>
      <c r="E87" s="11" t="n"/>
      <c r="F87" s="31" t="n"/>
      <c r="G87" s="32">
        <f>IF(OR(D87="",D87=0,E87=""),"",E87/D87)</f>
        <v/>
      </c>
      <c r="H87" s="33">
        <f>IF(E87="","",IF(E87&gt;0,"vinto",IF(E87&lt;0,"perso","pari")))</f>
        <v/>
      </c>
      <c r="I87" s="31" t="n"/>
    </row>
    <row r="88">
      <c r="A88" s="30" t="n"/>
      <c r="B88" s="31" t="n"/>
      <c r="C88" s="31" t="n"/>
      <c r="D88" s="11" t="n"/>
      <c r="E88" s="11" t="n"/>
      <c r="F88" s="31" t="n"/>
      <c r="G88" s="32">
        <f>IF(OR(D88="",D88=0,E88=""),"",E88/D88)</f>
        <v/>
      </c>
      <c r="H88" s="33">
        <f>IF(E88="","",IF(E88&gt;0,"vinto",IF(E88&lt;0,"perso","pari")))</f>
        <v/>
      </c>
      <c r="I88" s="31" t="n"/>
    </row>
    <row r="89">
      <c r="A89" s="30" t="n"/>
      <c r="B89" s="31" t="n"/>
      <c r="C89" s="31" t="n"/>
      <c r="D89" s="11" t="n"/>
      <c r="E89" s="11" t="n"/>
      <c r="F89" s="31" t="n"/>
      <c r="G89" s="32">
        <f>IF(OR(D89="",D89=0,E89=""),"",E89/D89)</f>
        <v/>
      </c>
      <c r="H89" s="33">
        <f>IF(E89="","",IF(E89&gt;0,"vinto",IF(E89&lt;0,"perso","pari")))</f>
        <v/>
      </c>
      <c r="I89" s="31" t="n"/>
    </row>
    <row r="90">
      <c r="A90" s="30" t="n"/>
      <c r="B90" s="31" t="n"/>
      <c r="C90" s="31" t="n"/>
      <c r="D90" s="11" t="n"/>
      <c r="E90" s="11" t="n"/>
      <c r="F90" s="31" t="n"/>
      <c r="G90" s="32">
        <f>IF(OR(D90="",D90=0,E90=""),"",E90/D90)</f>
        <v/>
      </c>
      <c r="H90" s="33">
        <f>IF(E90="","",IF(E90&gt;0,"vinto",IF(E90&lt;0,"perso","pari")))</f>
        <v/>
      </c>
      <c r="I90" s="31" t="n"/>
    </row>
    <row r="91">
      <c r="A91" s="30" t="n"/>
      <c r="B91" s="31" t="n"/>
      <c r="C91" s="31" t="n"/>
      <c r="D91" s="11" t="n"/>
      <c r="E91" s="11" t="n"/>
      <c r="F91" s="31" t="n"/>
      <c r="G91" s="32">
        <f>IF(OR(D91="",D91=0,E91=""),"",E91/D91)</f>
        <v/>
      </c>
      <c r="H91" s="33">
        <f>IF(E91="","",IF(E91&gt;0,"vinto",IF(E91&lt;0,"perso","pari")))</f>
        <v/>
      </c>
      <c r="I91" s="31" t="n"/>
    </row>
    <row r="92">
      <c r="A92" s="30" t="n"/>
      <c r="B92" s="31" t="n"/>
      <c r="C92" s="31" t="n"/>
      <c r="D92" s="11" t="n"/>
      <c r="E92" s="11" t="n"/>
      <c r="F92" s="31" t="n"/>
      <c r="G92" s="32">
        <f>IF(OR(D92="",D92=0,E92=""),"",E92/D92)</f>
        <v/>
      </c>
      <c r="H92" s="33">
        <f>IF(E92="","",IF(E92&gt;0,"vinto",IF(E92&lt;0,"perso","pari")))</f>
        <v/>
      </c>
      <c r="I92" s="31" t="n"/>
    </row>
    <row r="93">
      <c r="A93" s="30" t="n"/>
      <c r="B93" s="31" t="n"/>
      <c r="C93" s="31" t="n"/>
      <c r="D93" s="11" t="n"/>
      <c r="E93" s="11" t="n"/>
      <c r="F93" s="31" t="n"/>
      <c r="G93" s="32">
        <f>IF(OR(D93="",D93=0,E93=""),"",E93/D93)</f>
        <v/>
      </c>
      <c r="H93" s="33">
        <f>IF(E93="","",IF(E93&gt;0,"vinto",IF(E93&lt;0,"perso","pari")))</f>
        <v/>
      </c>
      <c r="I93" s="31" t="n"/>
    </row>
    <row r="94">
      <c r="A94" s="30" t="n"/>
      <c r="B94" s="31" t="n"/>
      <c r="C94" s="31" t="n"/>
      <c r="D94" s="11" t="n"/>
      <c r="E94" s="11" t="n"/>
      <c r="F94" s="31" t="n"/>
      <c r="G94" s="32">
        <f>IF(OR(D94="",D94=0,E94=""),"",E94/D94)</f>
        <v/>
      </c>
      <c r="H94" s="33">
        <f>IF(E94="","",IF(E94&gt;0,"vinto",IF(E94&lt;0,"perso","pari")))</f>
        <v/>
      </c>
      <c r="I94" s="31" t="n"/>
    </row>
    <row r="95">
      <c r="A95" s="30" t="n"/>
      <c r="B95" s="31" t="n"/>
      <c r="C95" s="31" t="n"/>
      <c r="D95" s="11" t="n"/>
      <c r="E95" s="11" t="n"/>
      <c r="F95" s="31" t="n"/>
      <c r="G95" s="32">
        <f>IF(OR(D95="",D95=0,E95=""),"",E95/D95)</f>
        <v/>
      </c>
      <c r="H95" s="33">
        <f>IF(E95="","",IF(E95&gt;0,"vinto",IF(E95&lt;0,"perso","pari")))</f>
        <v/>
      </c>
      <c r="I95" s="31" t="n"/>
    </row>
    <row r="96">
      <c r="A96" s="30" t="n"/>
      <c r="B96" s="31" t="n"/>
      <c r="C96" s="31" t="n"/>
      <c r="D96" s="11" t="n"/>
      <c r="E96" s="11" t="n"/>
      <c r="F96" s="31" t="n"/>
      <c r="G96" s="32">
        <f>IF(OR(D96="",D96=0,E96=""),"",E96/D96)</f>
        <v/>
      </c>
      <c r="H96" s="33">
        <f>IF(E96="","",IF(E96&gt;0,"vinto",IF(E96&lt;0,"perso","pari")))</f>
        <v/>
      </c>
      <c r="I96" s="31" t="n"/>
    </row>
    <row r="97">
      <c r="A97" s="30" t="n"/>
      <c r="B97" s="31" t="n"/>
      <c r="C97" s="31" t="n"/>
      <c r="D97" s="11" t="n"/>
      <c r="E97" s="11" t="n"/>
      <c r="F97" s="31" t="n"/>
      <c r="G97" s="32">
        <f>IF(OR(D97="",D97=0,E97=""),"",E97/D97)</f>
        <v/>
      </c>
      <c r="H97" s="33">
        <f>IF(E97="","",IF(E97&gt;0,"vinto",IF(E97&lt;0,"perso","pari")))</f>
        <v/>
      </c>
      <c r="I97" s="31" t="n"/>
    </row>
    <row r="98">
      <c r="A98" s="30" t="n"/>
      <c r="B98" s="31" t="n"/>
      <c r="C98" s="31" t="n"/>
      <c r="D98" s="11" t="n"/>
      <c r="E98" s="11" t="n"/>
      <c r="F98" s="31" t="n"/>
      <c r="G98" s="32">
        <f>IF(OR(D98="",D98=0,E98=""),"",E98/D98)</f>
        <v/>
      </c>
      <c r="H98" s="33">
        <f>IF(E98="","",IF(E98&gt;0,"vinto",IF(E98&lt;0,"perso","pari")))</f>
        <v/>
      </c>
      <c r="I98" s="31" t="n"/>
    </row>
    <row r="99">
      <c r="A99" s="30" t="n"/>
      <c r="B99" s="31" t="n"/>
      <c r="C99" s="31" t="n"/>
      <c r="D99" s="11" t="n"/>
      <c r="E99" s="11" t="n"/>
      <c r="F99" s="31" t="n"/>
      <c r="G99" s="32">
        <f>IF(OR(D99="",D99=0,E99=""),"",E99/D99)</f>
        <v/>
      </c>
      <c r="H99" s="33">
        <f>IF(E99="","",IF(E99&gt;0,"vinto",IF(E99&lt;0,"perso","pari")))</f>
        <v/>
      </c>
      <c r="I99" s="31" t="n"/>
    </row>
    <row r="100">
      <c r="A100" s="30" t="n"/>
      <c r="B100" s="31" t="n"/>
      <c r="C100" s="31" t="n"/>
      <c r="D100" s="11" t="n"/>
      <c r="E100" s="11" t="n"/>
      <c r="F100" s="31" t="n"/>
      <c r="G100" s="32">
        <f>IF(OR(D100="",D100=0,E100=""),"",E100/D100)</f>
        <v/>
      </c>
      <c r="H100" s="33">
        <f>IF(E100="","",IF(E100&gt;0,"vinto",IF(E100&lt;0,"perso","pari")))</f>
        <v/>
      </c>
      <c r="I100" s="31" t="n"/>
    </row>
    <row r="101">
      <c r="A101" s="30" t="n"/>
      <c r="B101" s="31" t="n"/>
      <c r="C101" s="31" t="n"/>
      <c r="D101" s="11" t="n"/>
      <c r="E101" s="11" t="n"/>
      <c r="F101" s="31" t="n"/>
      <c r="G101" s="32">
        <f>IF(OR(D101="",D101=0,E101=""),"",E101/D101)</f>
        <v/>
      </c>
      <c r="H101" s="33">
        <f>IF(E101="","",IF(E101&gt;0,"vinto",IF(E101&lt;0,"perso","pari")))</f>
        <v/>
      </c>
      <c r="I101" s="31" t="n"/>
    </row>
    <row r="102">
      <c r="A102" s="30" t="n"/>
      <c r="B102" s="31" t="n"/>
      <c r="C102" s="31" t="n"/>
      <c r="D102" s="11" t="n"/>
      <c r="E102" s="11" t="n"/>
      <c r="F102" s="31" t="n"/>
      <c r="G102" s="32">
        <f>IF(OR(D102="",D102=0,E102=""),"",E102/D102)</f>
        <v/>
      </c>
      <c r="H102" s="33">
        <f>IF(E102="","",IF(E102&gt;0,"vinto",IF(E102&lt;0,"perso","pari")))</f>
        <v/>
      </c>
      <c r="I102" s="31" t="n"/>
    </row>
    <row r="103">
      <c r="A103" s="30" t="n"/>
      <c r="B103" s="31" t="n"/>
      <c r="C103" s="31" t="n"/>
      <c r="D103" s="11" t="n"/>
      <c r="E103" s="11" t="n"/>
      <c r="F103" s="31" t="n"/>
      <c r="G103" s="32">
        <f>IF(OR(D103="",D103=0,E103=""),"",E103/D103)</f>
        <v/>
      </c>
      <c r="H103" s="33">
        <f>IF(E103="","",IF(E103&gt;0,"vinto",IF(E103&lt;0,"perso","pari")))</f>
        <v/>
      </c>
      <c r="I103" s="31" t="n"/>
    </row>
    <row r="104">
      <c r="A104" s="30" t="n"/>
      <c r="B104" s="31" t="n"/>
      <c r="C104" s="31" t="n"/>
      <c r="D104" s="11" t="n"/>
      <c r="E104" s="11" t="n"/>
      <c r="F104" s="31" t="n"/>
      <c r="G104" s="32">
        <f>IF(OR(D104="",D104=0,E104=""),"",E104/D104)</f>
        <v/>
      </c>
      <c r="H104" s="33">
        <f>IF(E104="","",IF(E104&gt;0,"vinto",IF(E104&lt;0,"perso","pari")))</f>
        <v/>
      </c>
      <c r="I104" s="31" t="n"/>
    </row>
    <row r="105">
      <c r="A105" s="30" t="n"/>
      <c r="B105" s="31" t="n"/>
      <c r="C105" s="31" t="n"/>
      <c r="D105" s="11" t="n"/>
      <c r="E105" s="11" t="n"/>
      <c r="F105" s="31" t="n"/>
      <c r="G105" s="32">
        <f>IF(OR(D105="",D105=0,E105=""),"",E105/D105)</f>
        <v/>
      </c>
      <c r="H105" s="33">
        <f>IF(E105="","",IF(E105&gt;0,"vinto",IF(E105&lt;0,"perso","pari")))</f>
        <v/>
      </c>
      <c r="I105" s="31" t="n"/>
    </row>
    <row r="106">
      <c r="A106" s="30" t="n"/>
      <c r="B106" s="31" t="n"/>
      <c r="C106" s="31" t="n"/>
      <c r="D106" s="11" t="n"/>
      <c r="E106" s="11" t="n"/>
      <c r="F106" s="31" t="n"/>
      <c r="G106" s="32">
        <f>IF(OR(D106="",D106=0,E106=""),"",E106/D106)</f>
        <v/>
      </c>
      <c r="H106" s="33">
        <f>IF(E106="","",IF(E106&gt;0,"vinto",IF(E106&lt;0,"perso","pari")))</f>
        <v/>
      </c>
      <c r="I106" s="31" t="n"/>
    </row>
    <row r="107">
      <c r="A107" s="30" t="n"/>
      <c r="B107" s="31" t="n"/>
      <c r="C107" s="31" t="n"/>
      <c r="D107" s="11" t="n"/>
      <c r="E107" s="11" t="n"/>
      <c r="F107" s="31" t="n"/>
      <c r="G107" s="32">
        <f>IF(OR(D107="",D107=0,E107=""),"",E107/D107)</f>
        <v/>
      </c>
      <c r="H107" s="33">
        <f>IF(E107="","",IF(E107&gt;0,"vinto",IF(E107&lt;0,"perso","pari")))</f>
        <v/>
      </c>
      <c r="I107" s="31" t="n"/>
    </row>
    <row r="108">
      <c r="A108" s="30" t="n"/>
      <c r="B108" s="31" t="n"/>
      <c r="C108" s="31" t="n"/>
      <c r="D108" s="11" t="n"/>
      <c r="E108" s="11" t="n"/>
      <c r="F108" s="31" t="n"/>
      <c r="G108" s="32">
        <f>IF(OR(D108="",D108=0,E108=""),"",E108/D108)</f>
        <v/>
      </c>
      <c r="H108" s="33">
        <f>IF(E108="","",IF(E108&gt;0,"vinto",IF(E108&lt;0,"perso","pari")))</f>
        <v/>
      </c>
      <c r="I108" s="31" t="n"/>
    </row>
    <row r="109">
      <c r="A109" s="30" t="n"/>
      <c r="B109" s="31" t="n"/>
      <c r="C109" s="31" t="n"/>
      <c r="D109" s="11" t="n"/>
      <c r="E109" s="11" t="n"/>
      <c r="F109" s="31" t="n"/>
      <c r="G109" s="32">
        <f>IF(OR(D109="",D109=0,E109=""),"",E109/D109)</f>
        <v/>
      </c>
      <c r="H109" s="33">
        <f>IF(E109="","",IF(E109&gt;0,"vinto",IF(E109&lt;0,"perso","pari")))</f>
        <v/>
      </c>
      <c r="I109" s="31" t="n"/>
    </row>
    <row r="110">
      <c r="A110" s="30" t="n"/>
      <c r="B110" s="31" t="n"/>
      <c r="C110" s="31" t="n"/>
      <c r="D110" s="11" t="n"/>
      <c r="E110" s="11" t="n"/>
      <c r="F110" s="31" t="n"/>
      <c r="G110" s="32">
        <f>IF(OR(D110="",D110=0,E110=""),"",E110/D110)</f>
        <v/>
      </c>
      <c r="H110" s="33">
        <f>IF(E110="","",IF(E110&gt;0,"vinto",IF(E110&lt;0,"perso","pari")))</f>
        <v/>
      </c>
      <c r="I110" s="31" t="n"/>
    </row>
    <row r="111">
      <c r="A111" s="30" t="n"/>
      <c r="B111" s="31" t="n"/>
      <c r="C111" s="31" t="n"/>
      <c r="D111" s="11" t="n"/>
      <c r="E111" s="11" t="n"/>
      <c r="F111" s="31" t="n"/>
      <c r="G111" s="32">
        <f>IF(OR(D111="",D111=0,E111=""),"",E111/D111)</f>
        <v/>
      </c>
      <c r="H111" s="33">
        <f>IF(E111="","",IF(E111&gt;0,"vinto",IF(E111&lt;0,"perso","pari")))</f>
        <v/>
      </c>
      <c r="I111" s="31" t="n"/>
    </row>
    <row r="112">
      <c r="A112" s="30" t="n"/>
      <c r="B112" s="31" t="n"/>
      <c r="C112" s="31" t="n"/>
      <c r="D112" s="11" t="n"/>
      <c r="E112" s="11" t="n"/>
      <c r="F112" s="31" t="n"/>
      <c r="G112" s="32">
        <f>IF(OR(D112="",D112=0,E112=""),"",E112/D112)</f>
        <v/>
      </c>
      <c r="H112" s="33">
        <f>IF(E112="","",IF(E112&gt;0,"vinto",IF(E112&lt;0,"perso","pari")))</f>
        <v/>
      </c>
      <c r="I112" s="31" t="n"/>
    </row>
    <row r="113">
      <c r="A113" s="30" t="n"/>
      <c r="B113" s="31" t="n"/>
      <c r="C113" s="31" t="n"/>
      <c r="D113" s="11" t="n"/>
      <c r="E113" s="11" t="n"/>
      <c r="F113" s="31" t="n"/>
      <c r="G113" s="32">
        <f>IF(OR(D113="",D113=0,E113=""),"",E113/D113)</f>
        <v/>
      </c>
      <c r="H113" s="33">
        <f>IF(E113="","",IF(E113&gt;0,"vinto",IF(E113&lt;0,"perso","pari")))</f>
        <v/>
      </c>
      <c r="I113" s="31" t="n"/>
    </row>
    <row r="114">
      <c r="A114" s="30" t="n"/>
      <c r="B114" s="31" t="n"/>
      <c r="C114" s="31" t="n"/>
      <c r="D114" s="11" t="n"/>
      <c r="E114" s="11" t="n"/>
      <c r="F114" s="31" t="n"/>
      <c r="G114" s="32">
        <f>IF(OR(D114="",D114=0,E114=""),"",E114/D114)</f>
        <v/>
      </c>
      <c r="H114" s="33">
        <f>IF(E114="","",IF(E114&gt;0,"vinto",IF(E114&lt;0,"perso","pari")))</f>
        <v/>
      </c>
      <c r="I114" s="31" t="n"/>
    </row>
    <row r="115">
      <c r="A115" s="30" t="n"/>
      <c r="B115" s="31" t="n"/>
      <c r="C115" s="31" t="n"/>
      <c r="D115" s="11" t="n"/>
      <c r="E115" s="11" t="n"/>
      <c r="F115" s="31" t="n"/>
      <c r="G115" s="32">
        <f>IF(OR(D115="",D115=0,E115=""),"",E115/D115)</f>
        <v/>
      </c>
      <c r="H115" s="33">
        <f>IF(E115="","",IF(E115&gt;0,"vinto",IF(E115&lt;0,"perso","pari")))</f>
        <v/>
      </c>
      <c r="I115" s="31" t="n"/>
    </row>
    <row r="116">
      <c r="A116" s="30" t="n"/>
      <c r="B116" s="31" t="n"/>
      <c r="C116" s="31" t="n"/>
      <c r="D116" s="11" t="n"/>
      <c r="E116" s="11" t="n"/>
      <c r="F116" s="31" t="n"/>
      <c r="G116" s="32">
        <f>IF(OR(D116="",D116=0,E116=""),"",E116/D116)</f>
        <v/>
      </c>
      <c r="H116" s="33">
        <f>IF(E116="","",IF(E116&gt;0,"vinto",IF(E116&lt;0,"perso","pari")))</f>
        <v/>
      </c>
      <c r="I116" s="31" t="n"/>
    </row>
    <row r="117">
      <c r="A117" s="30" t="n"/>
      <c r="B117" s="31" t="n"/>
      <c r="C117" s="31" t="n"/>
      <c r="D117" s="11" t="n"/>
      <c r="E117" s="11" t="n"/>
      <c r="F117" s="31" t="n"/>
      <c r="G117" s="32">
        <f>IF(OR(D117="",D117=0,E117=""),"",E117/D117)</f>
        <v/>
      </c>
      <c r="H117" s="33">
        <f>IF(E117="","",IF(E117&gt;0,"vinto",IF(E117&lt;0,"perso","pari")))</f>
        <v/>
      </c>
      <c r="I117" s="31" t="n"/>
    </row>
    <row r="118">
      <c r="A118" s="30" t="n"/>
      <c r="B118" s="31" t="n"/>
      <c r="C118" s="31" t="n"/>
      <c r="D118" s="11" t="n"/>
      <c r="E118" s="11" t="n"/>
      <c r="F118" s="31" t="n"/>
      <c r="G118" s="32">
        <f>IF(OR(D118="",D118=0,E118=""),"",E118/D118)</f>
        <v/>
      </c>
      <c r="H118" s="33">
        <f>IF(E118="","",IF(E118&gt;0,"vinto",IF(E118&lt;0,"perso","pari")))</f>
        <v/>
      </c>
      <c r="I118" s="31" t="n"/>
    </row>
    <row r="119">
      <c r="A119" s="30" t="n"/>
      <c r="B119" s="31" t="n"/>
      <c r="C119" s="31" t="n"/>
      <c r="D119" s="11" t="n"/>
      <c r="E119" s="11" t="n"/>
      <c r="F119" s="31" t="n"/>
      <c r="G119" s="32">
        <f>IF(OR(D119="",D119=0,E119=""),"",E119/D119)</f>
        <v/>
      </c>
      <c r="H119" s="33">
        <f>IF(E119="","",IF(E119&gt;0,"vinto",IF(E119&lt;0,"perso","pari")))</f>
        <v/>
      </c>
      <c r="I119" s="31" t="n"/>
    </row>
    <row r="120">
      <c r="A120" s="30" t="n"/>
      <c r="B120" s="31" t="n"/>
      <c r="C120" s="31" t="n"/>
      <c r="D120" s="11" t="n"/>
      <c r="E120" s="11" t="n"/>
      <c r="F120" s="31" t="n"/>
      <c r="G120" s="32">
        <f>IF(OR(D120="",D120=0,E120=""),"",E120/D120)</f>
        <v/>
      </c>
      <c r="H120" s="33">
        <f>IF(E120="","",IF(E120&gt;0,"vinto",IF(E120&lt;0,"perso","pari")))</f>
        <v/>
      </c>
      <c r="I120" s="31" t="n"/>
    </row>
    <row r="121">
      <c r="A121" s="30" t="n"/>
      <c r="B121" s="31" t="n"/>
      <c r="C121" s="31" t="n"/>
      <c r="D121" s="11" t="n"/>
      <c r="E121" s="11" t="n"/>
      <c r="F121" s="31" t="n"/>
      <c r="G121" s="32">
        <f>IF(OR(D121="",D121=0,E121=""),"",E121/D121)</f>
        <v/>
      </c>
      <c r="H121" s="33">
        <f>IF(E121="","",IF(E121&gt;0,"vinto",IF(E121&lt;0,"perso","pari")))</f>
        <v/>
      </c>
      <c r="I121" s="31" t="n"/>
    </row>
    <row r="122">
      <c r="A122" s="30" t="n"/>
      <c r="B122" s="31" t="n"/>
      <c r="C122" s="31" t="n"/>
      <c r="D122" s="11" t="n"/>
      <c r="E122" s="11" t="n"/>
      <c r="F122" s="31" t="n"/>
      <c r="G122" s="32">
        <f>IF(OR(D122="",D122=0,E122=""),"",E122/D122)</f>
        <v/>
      </c>
      <c r="H122" s="33">
        <f>IF(E122="","",IF(E122&gt;0,"vinto",IF(E122&lt;0,"perso","pari")))</f>
        <v/>
      </c>
      <c r="I122" s="31" t="n"/>
    </row>
    <row r="123">
      <c r="A123" s="30" t="n"/>
      <c r="B123" s="31" t="n"/>
      <c r="C123" s="31" t="n"/>
      <c r="D123" s="11" t="n"/>
      <c r="E123" s="11" t="n"/>
      <c r="F123" s="31" t="n"/>
      <c r="G123" s="32">
        <f>IF(OR(D123="",D123=0,E123=""),"",E123/D123)</f>
        <v/>
      </c>
      <c r="H123" s="33">
        <f>IF(E123="","",IF(E123&gt;0,"vinto",IF(E123&lt;0,"perso","pari")))</f>
        <v/>
      </c>
      <c r="I123" s="31" t="n"/>
    </row>
    <row r="124">
      <c r="A124" s="30" t="n"/>
      <c r="B124" s="31" t="n"/>
      <c r="C124" s="31" t="n"/>
      <c r="D124" s="11" t="n"/>
      <c r="E124" s="11" t="n"/>
      <c r="F124" s="31" t="n"/>
      <c r="G124" s="32">
        <f>IF(OR(D124="",D124=0,E124=""),"",E124/D124)</f>
        <v/>
      </c>
      <c r="H124" s="33">
        <f>IF(E124="","",IF(E124&gt;0,"vinto",IF(E124&lt;0,"perso","pari")))</f>
        <v/>
      </c>
      <c r="I124" s="31" t="n"/>
    </row>
    <row r="125">
      <c r="A125" s="30" t="n"/>
      <c r="B125" s="31" t="n"/>
      <c r="C125" s="31" t="n"/>
      <c r="D125" s="11" t="n"/>
      <c r="E125" s="11" t="n"/>
      <c r="F125" s="31" t="n"/>
      <c r="G125" s="32">
        <f>IF(OR(D125="",D125=0,E125=""),"",E125/D125)</f>
        <v/>
      </c>
      <c r="H125" s="33">
        <f>IF(E125="","",IF(E125&gt;0,"vinto",IF(E125&lt;0,"perso","pari")))</f>
        <v/>
      </c>
      <c r="I125" s="31" t="n"/>
    </row>
    <row r="126">
      <c r="A126" s="30" t="n"/>
      <c r="B126" s="31" t="n"/>
      <c r="C126" s="31" t="n"/>
      <c r="D126" s="11" t="n"/>
      <c r="E126" s="11" t="n"/>
      <c r="F126" s="31" t="n"/>
      <c r="G126" s="32">
        <f>IF(OR(D126="",D126=0,E126=""),"",E126/D126)</f>
        <v/>
      </c>
      <c r="H126" s="33">
        <f>IF(E126="","",IF(E126&gt;0,"vinto",IF(E126&lt;0,"perso","pari")))</f>
        <v/>
      </c>
      <c r="I126" s="31" t="n"/>
    </row>
    <row r="127">
      <c r="A127" s="30" t="n"/>
      <c r="B127" s="31" t="n"/>
      <c r="C127" s="31" t="n"/>
      <c r="D127" s="11" t="n"/>
      <c r="E127" s="11" t="n"/>
      <c r="F127" s="31" t="n"/>
      <c r="G127" s="32">
        <f>IF(OR(D127="",D127=0,E127=""),"",E127/D127)</f>
        <v/>
      </c>
      <c r="H127" s="33">
        <f>IF(E127="","",IF(E127&gt;0,"vinto",IF(E127&lt;0,"perso","pari")))</f>
        <v/>
      </c>
      <c r="I127" s="31" t="n"/>
    </row>
    <row r="128">
      <c r="A128" s="30" t="n"/>
      <c r="B128" s="31" t="n"/>
      <c r="C128" s="31" t="n"/>
      <c r="D128" s="11" t="n"/>
      <c r="E128" s="11" t="n"/>
      <c r="F128" s="31" t="n"/>
      <c r="G128" s="32">
        <f>IF(OR(D128="",D128=0,E128=""),"",E128/D128)</f>
        <v/>
      </c>
      <c r="H128" s="33">
        <f>IF(E128="","",IF(E128&gt;0,"vinto",IF(E128&lt;0,"perso","pari")))</f>
        <v/>
      </c>
      <c r="I128" s="31" t="n"/>
    </row>
    <row r="129">
      <c r="A129" s="30" t="n"/>
      <c r="B129" s="31" t="n"/>
      <c r="C129" s="31" t="n"/>
      <c r="D129" s="11" t="n"/>
      <c r="E129" s="11" t="n"/>
      <c r="F129" s="31" t="n"/>
      <c r="G129" s="32">
        <f>IF(OR(D129="",D129=0,E129=""),"",E129/D129)</f>
        <v/>
      </c>
      <c r="H129" s="33">
        <f>IF(E129="","",IF(E129&gt;0,"vinto",IF(E129&lt;0,"perso","pari")))</f>
        <v/>
      </c>
      <c r="I129" s="31" t="n"/>
    </row>
    <row r="130">
      <c r="A130" s="30" t="n"/>
      <c r="B130" s="31" t="n"/>
      <c r="C130" s="31" t="n"/>
      <c r="D130" s="11" t="n"/>
      <c r="E130" s="11" t="n"/>
      <c r="F130" s="31" t="n"/>
      <c r="G130" s="32">
        <f>IF(OR(D130="",D130=0,E130=""),"",E130/D130)</f>
        <v/>
      </c>
      <c r="H130" s="33">
        <f>IF(E130="","",IF(E130&gt;0,"vinto",IF(E130&lt;0,"perso","pari")))</f>
        <v/>
      </c>
      <c r="I130" s="31" t="n"/>
    </row>
    <row r="131">
      <c r="A131" s="30" t="n"/>
      <c r="B131" s="31" t="n"/>
      <c r="C131" s="31" t="n"/>
      <c r="D131" s="11" t="n"/>
      <c r="E131" s="11" t="n"/>
      <c r="F131" s="31" t="n"/>
      <c r="G131" s="32">
        <f>IF(OR(D131="",D131=0,E131=""),"",E131/D131)</f>
        <v/>
      </c>
      <c r="H131" s="33">
        <f>IF(E131="","",IF(E131&gt;0,"vinto",IF(E131&lt;0,"perso","pari")))</f>
        <v/>
      </c>
      <c r="I131" s="31" t="n"/>
    </row>
    <row r="132">
      <c r="A132" s="30" t="n"/>
      <c r="B132" s="31" t="n"/>
      <c r="C132" s="31" t="n"/>
      <c r="D132" s="11" t="n"/>
      <c r="E132" s="11" t="n"/>
      <c r="F132" s="31" t="n"/>
      <c r="G132" s="32">
        <f>IF(OR(D132="",D132=0,E132=""),"",E132/D132)</f>
        <v/>
      </c>
      <c r="H132" s="33">
        <f>IF(E132="","",IF(E132&gt;0,"vinto",IF(E132&lt;0,"perso","pari")))</f>
        <v/>
      </c>
      <c r="I132" s="31" t="n"/>
    </row>
    <row r="133">
      <c r="A133" s="30" t="n"/>
      <c r="B133" s="31" t="n"/>
      <c r="C133" s="31" t="n"/>
      <c r="D133" s="11" t="n"/>
      <c r="E133" s="11" t="n"/>
      <c r="F133" s="31" t="n"/>
      <c r="G133" s="32">
        <f>IF(OR(D133="",D133=0,E133=""),"",E133/D133)</f>
        <v/>
      </c>
      <c r="H133" s="33">
        <f>IF(E133="","",IF(E133&gt;0,"vinto",IF(E133&lt;0,"perso","pari")))</f>
        <v/>
      </c>
      <c r="I133" s="31" t="n"/>
    </row>
    <row r="134">
      <c r="A134" s="30" t="n"/>
      <c r="B134" s="31" t="n"/>
      <c r="C134" s="31" t="n"/>
      <c r="D134" s="11" t="n"/>
      <c r="E134" s="11" t="n"/>
      <c r="F134" s="31" t="n"/>
      <c r="G134" s="32">
        <f>IF(OR(D134="",D134=0,E134=""),"",E134/D134)</f>
        <v/>
      </c>
      <c r="H134" s="33">
        <f>IF(E134="","",IF(E134&gt;0,"vinto",IF(E134&lt;0,"perso","pari")))</f>
        <v/>
      </c>
      <c r="I134" s="31" t="n"/>
    </row>
    <row r="135">
      <c r="A135" s="30" t="n"/>
      <c r="B135" s="31" t="n"/>
      <c r="C135" s="31" t="n"/>
      <c r="D135" s="11" t="n"/>
      <c r="E135" s="11" t="n"/>
      <c r="F135" s="31" t="n"/>
      <c r="G135" s="32">
        <f>IF(OR(D135="",D135=0,E135=""),"",E135/D135)</f>
        <v/>
      </c>
      <c r="H135" s="33">
        <f>IF(E135="","",IF(E135&gt;0,"vinto",IF(E135&lt;0,"perso","pari")))</f>
        <v/>
      </c>
      <c r="I135" s="31" t="n"/>
    </row>
    <row r="136">
      <c r="A136" s="30" t="n"/>
      <c r="B136" s="31" t="n"/>
      <c r="C136" s="31" t="n"/>
      <c r="D136" s="11" t="n"/>
      <c r="E136" s="11" t="n"/>
      <c r="F136" s="31" t="n"/>
      <c r="G136" s="32">
        <f>IF(OR(D136="",D136=0,E136=""),"",E136/D136)</f>
        <v/>
      </c>
      <c r="H136" s="33">
        <f>IF(E136="","",IF(E136&gt;0,"vinto",IF(E136&lt;0,"perso","pari")))</f>
        <v/>
      </c>
      <c r="I136" s="31" t="n"/>
    </row>
    <row r="137">
      <c r="A137" s="30" t="n"/>
      <c r="B137" s="31" t="n"/>
      <c r="C137" s="31" t="n"/>
      <c r="D137" s="11" t="n"/>
      <c r="E137" s="11" t="n"/>
      <c r="F137" s="31" t="n"/>
      <c r="G137" s="32">
        <f>IF(OR(D137="",D137=0,E137=""),"",E137/D137)</f>
        <v/>
      </c>
      <c r="H137" s="33">
        <f>IF(E137="","",IF(E137&gt;0,"vinto",IF(E137&lt;0,"perso","pari")))</f>
        <v/>
      </c>
      <c r="I137" s="31" t="n"/>
    </row>
    <row r="138">
      <c r="A138" s="30" t="n"/>
      <c r="B138" s="31" t="n"/>
      <c r="C138" s="31" t="n"/>
      <c r="D138" s="11" t="n"/>
      <c r="E138" s="11" t="n"/>
      <c r="F138" s="31" t="n"/>
      <c r="G138" s="32">
        <f>IF(OR(D138="",D138=0,E138=""),"",E138/D138)</f>
        <v/>
      </c>
      <c r="H138" s="33">
        <f>IF(E138="","",IF(E138&gt;0,"vinto",IF(E138&lt;0,"perso","pari")))</f>
        <v/>
      </c>
      <c r="I138" s="31" t="n"/>
    </row>
    <row r="139">
      <c r="A139" s="30" t="n"/>
      <c r="B139" s="31" t="n"/>
      <c r="C139" s="31" t="n"/>
      <c r="D139" s="11" t="n"/>
      <c r="E139" s="11" t="n"/>
      <c r="F139" s="31" t="n"/>
      <c r="G139" s="32">
        <f>IF(OR(D139="",D139=0,E139=""),"",E139/D139)</f>
        <v/>
      </c>
      <c r="H139" s="33">
        <f>IF(E139="","",IF(E139&gt;0,"vinto",IF(E139&lt;0,"perso","pari")))</f>
        <v/>
      </c>
      <c r="I139" s="31" t="n"/>
    </row>
    <row r="140">
      <c r="A140" s="30" t="n"/>
      <c r="B140" s="31" t="n"/>
      <c r="C140" s="31" t="n"/>
      <c r="D140" s="11" t="n"/>
      <c r="E140" s="11" t="n"/>
      <c r="F140" s="31" t="n"/>
      <c r="G140" s="32">
        <f>IF(OR(D140="",D140=0,E140=""),"",E140/D140)</f>
        <v/>
      </c>
      <c r="H140" s="33">
        <f>IF(E140="","",IF(E140&gt;0,"vinto",IF(E140&lt;0,"perso","pari")))</f>
        <v/>
      </c>
      <c r="I140" s="31" t="n"/>
    </row>
    <row r="141">
      <c r="A141" s="30" t="n"/>
      <c r="B141" s="31" t="n"/>
      <c r="C141" s="31" t="n"/>
      <c r="D141" s="11" t="n"/>
      <c r="E141" s="11" t="n"/>
      <c r="F141" s="31" t="n"/>
      <c r="G141" s="32">
        <f>IF(OR(D141="",D141=0,E141=""),"",E141/D141)</f>
        <v/>
      </c>
      <c r="H141" s="33">
        <f>IF(E141="","",IF(E141&gt;0,"vinto",IF(E141&lt;0,"perso","pari")))</f>
        <v/>
      </c>
      <c r="I141" s="31" t="n"/>
    </row>
    <row r="142">
      <c r="A142" s="30" t="n"/>
      <c r="B142" s="31" t="n"/>
      <c r="C142" s="31" t="n"/>
      <c r="D142" s="11" t="n"/>
      <c r="E142" s="11" t="n"/>
      <c r="F142" s="31" t="n"/>
      <c r="G142" s="32">
        <f>IF(OR(D142="",D142=0,E142=""),"",E142/D142)</f>
        <v/>
      </c>
      <c r="H142" s="33">
        <f>IF(E142="","",IF(E142&gt;0,"vinto",IF(E142&lt;0,"perso","pari")))</f>
        <v/>
      </c>
      <c r="I142" s="31" t="n"/>
    </row>
    <row r="143">
      <c r="A143" s="30" t="n"/>
      <c r="B143" s="31" t="n"/>
      <c r="C143" s="31" t="n"/>
      <c r="D143" s="11" t="n"/>
      <c r="E143" s="11" t="n"/>
      <c r="F143" s="31" t="n"/>
      <c r="G143" s="32">
        <f>IF(OR(D143="",D143=0,E143=""),"",E143/D143)</f>
        <v/>
      </c>
      <c r="H143" s="33">
        <f>IF(E143="","",IF(E143&gt;0,"vinto",IF(E143&lt;0,"perso","pari")))</f>
        <v/>
      </c>
      <c r="I143" s="31" t="n"/>
    </row>
    <row r="144">
      <c r="A144" s="30" t="n"/>
      <c r="B144" s="31" t="n"/>
      <c r="C144" s="31" t="n"/>
      <c r="D144" s="11" t="n"/>
      <c r="E144" s="11" t="n"/>
      <c r="F144" s="31" t="n"/>
      <c r="G144" s="32">
        <f>IF(OR(D144="",D144=0,E144=""),"",E144/D144)</f>
        <v/>
      </c>
      <c r="H144" s="33">
        <f>IF(E144="","",IF(E144&gt;0,"vinto",IF(E144&lt;0,"perso","pari")))</f>
        <v/>
      </c>
      <c r="I144" s="31" t="n"/>
    </row>
    <row r="145">
      <c r="A145" s="30" t="n"/>
      <c r="B145" s="31" t="n"/>
      <c r="C145" s="31" t="n"/>
      <c r="D145" s="11" t="n"/>
      <c r="E145" s="11" t="n"/>
      <c r="F145" s="31" t="n"/>
      <c r="G145" s="32">
        <f>IF(OR(D145="",D145=0,E145=""),"",E145/D145)</f>
        <v/>
      </c>
      <c r="H145" s="33">
        <f>IF(E145="","",IF(E145&gt;0,"vinto",IF(E145&lt;0,"perso","pari")))</f>
        <v/>
      </c>
      <c r="I145" s="31" t="n"/>
    </row>
    <row r="146">
      <c r="A146" s="30" t="n"/>
      <c r="B146" s="31" t="n"/>
      <c r="C146" s="31" t="n"/>
      <c r="D146" s="11" t="n"/>
      <c r="E146" s="11" t="n"/>
      <c r="F146" s="31" t="n"/>
      <c r="G146" s="32">
        <f>IF(OR(D146="",D146=0,E146=""),"",E146/D146)</f>
        <v/>
      </c>
      <c r="H146" s="33">
        <f>IF(E146="","",IF(E146&gt;0,"vinto",IF(E146&lt;0,"perso","pari")))</f>
        <v/>
      </c>
      <c r="I146" s="31" t="n"/>
    </row>
    <row r="147">
      <c r="A147" s="30" t="n"/>
      <c r="B147" s="31" t="n"/>
      <c r="C147" s="31" t="n"/>
      <c r="D147" s="11" t="n"/>
      <c r="E147" s="11" t="n"/>
      <c r="F147" s="31" t="n"/>
      <c r="G147" s="32">
        <f>IF(OR(D147="",D147=0,E147=""),"",E147/D147)</f>
        <v/>
      </c>
      <c r="H147" s="33">
        <f>IF(E147="","",IF(E147&gt;0,"vinto",IF(E147&lt;0,"perso","pari")))</f>
        <v/>
      </c>
      <c r="I147" s="31" t="n"/>
    </row>
    <row r="148">
      <c r="A148" s="30" t="n"/>
      <c r="B148" s="31" t="n"/>
      <c r="C148" s="31" t="n"/>
      <c r="D148" s="11" t="n"/>
      <c r="E148" s="11" t="n"/>
      <c r="F148" s="31" t="n"/>
      <c r="G148" s="32">
        <f>IF(OR(D148="",D148=0,E148=""),"",E148/D148)</f>
        <v/>
      </c>
      <c r="H148" s="33">
        <f>IF(E148="","",IF(E148&gt;0,"vinto",IF(E148&lt;0,"perso","pari")))</f>
        <v/>
      </c>
      <c r="I148" s="31" t="n"/>
    </row>
    <row r="149">
      <c r="A149" s="30" t="n"/>
      <c r="B149" s="31" t="n"/>
      <c r="C149" s="31" t="n"/>
      <c r="D149" s="11" t="n"/>
      <c r="E149" s="11" t="n"/>
      <c r="F149" s="31" t="n"/>
      <c r="G149" s="32">
        <f>IF(OR(D149="",D149=0,E149=""),"",E149/D149)</f>
        <v/>
      </c>
      <c r="H149" s="33">
        <f>IF(E149="","",IF(E149&gt;0,"vinto",IF(E149&lt;0,"perso","pari")))</f>
        <v/>
      </c>
      <c r="I149" s="31" t="n"/>
    </row>
    <row r="150">
      <c r="A150" s="30" t="n"/>
      <c r="B150" s="31" t="n"/>
      <c r="C150" s="31" t="n"/>
      <c r="D150" s="11" t="n"/>
      <c r="E150" s="11" t="n"/>
      <c r="F150" s="31" t="n"/>
      <c r="G150" s="32">
        <f>IF(OR(D150="",D150=0,E150=""),"",E150/D150)</f>
        <v/>
      </c>
      <c r="H150" s="33">
        <f>IF(E150="","",IF(E150&gt;0,"vinto",IF(E150&lt;0,"perso","pari")))</f>
        <v/>
      </c>
      <c r="I150" s="31" t="n"/>
    </row>
    <row r="151">
      <c r="A151" s="30" t="n"/>
      <c r="B151" s="31" t="n"/>
      <c r="C151" s="31" t="n"/>
      <c r="D151" s="11" t="n"/>
      <c r="E151" s="11" t="n"/>
      <c r="F151" s="31" t="n"/>
      <c r="G151" s="32">
        <f>IF(OR(D151="",D151=0,E151=""),"",E151/D151)</f>
        <v/>
      </c>
      <c r="H151" s="33">
        <f>IF(E151="","",IF(E151&gt;0,"vinto",IF(E151&lt;0,"perso","pari")))</f>
        <v/>
      </c>
      <c r="I151" s="31" t="n"/>
    </row>
    <row r="152">
      <c r="A152" s="30" t="n"/>
      <c r="B152" s="31" t="n"/>
      <c r="C152" s="31" t="n"/>
      <c r="D152" s="11" t="n"/>
      <c r="E152" s="11" t="n"/>
      <c r="F152" s="31" t="n"/>
      <c r="G152" s="32">
        <f>IF(OR(D152="",D152=0,E152=""),"",E152/D152)</f>
        <v/>
      </c>
      <c r="H152" s="33">
        <f>IF(E152="","",IF(E152&gt;0,"vinto",IF(E152&lt;0,"perso","pari")))</f>
        <v/>
      </c>
      <c r="I152" s="31" t="n"/>
    </row>
    <row r="153">
      <c r="A153" s="30" t="n"/>
      <c r="B153" s="31" t="n"/>
      <c r="C153" s="31" t="n"/>
      <c r="D153" s="11" t="n"/>
      <c r="E153" s="11" t="n"/>
      <c r="F153" s="31" t="n"/>
      <c r="G153" s="32">
        <f>IF(OR(D153="",D153=0,E153=""),"",E153/D153)</f>
        <v/>
      </c>
      <c r="H153" s="33">
        <f>IF(E153="","",IF(E153&gt;0,"vinto",IF(E153&lt;0,"perso","pari")))</f>
        <v/>
      </c>
      <c r="I153" s="31" t="n"/>
    </row>
    <row r="154">
      <c r="A154" s="30" t="n"/>
      <c r="B154" s="31" t="n"/>
      <c r="C154" s="31" t="n"/>
      <c r="D154" s="11" t="n"/>
      <c r="E154" s="11" t="n"/>
      <c r="F154" s="31" t="n"/>
      <c r="G154" s="32">
        <f>IF(OR(D154="",D154=0,E154=""),"",E154/D154)</f>
        <v/>
      </c>
      <c r="H154" s="33">
        <f>IF(E154="","",IF(E154&gt;0,"vinto",IF(E154&lt;0,"perso","pari")))</f>
        <v/>
      </c>
      <c r="I154" s="31" t="n"/>
    </row>
    <row r="155">
      <c r="A155" s="30" t="n"/>
      <c r="B155" s="31" t="n"/>
      <c r="C155" s="31" t="n"/>
      <c r="D155" s="11" t="n"/>
      <c r="E155" s="11" t="n"/>
      <c r="F155" s="31" t="n"/>
      <c r="G155" s="32">
        <f>IF(OR(D155="",D155=0,E155=""),"",E155/D155)</f>
        <v/>
      </c>
      <c r="H155" s="33">
        <f>IF(E155="","",IF(E155&gt;0,"vinto",IF(E155&lt;0,"perso","pari")))</f>
        <v/>
      </c>
      <c r="I155" s="31" t="n"/>
    </row>
    <row r="156">
      <c r="A156" s="30" t="n"/>
      <c r="B156" s="31" t="n"/>
      <c r="C156" s="31" t="n"/>
      <c r="D156" s="11" t="n"/>
      <c r="E156" s="11" t="n"/>
      <c r="F156" s="31" t="n"/>
      <c r="G156" s="32">
        <f>IF(OR(D156="",D156=0,E156=""),"",E156/D156)</f>
        <v/>
      </c>
      <c r="H156" s="33">
        <f>IF(E156="","",IF(E156&gt;0,"vinto",IF(E156&lt;0,"perso","pari")))</f>
        <v/>
      </c>
      <c r="I156" s="31" t="n"/>
    </row>
    <row r="157">
      <c r="A157" s="30" t="n"/>
      <c r="B157" s="31" t="n"/>
      <c r="C157" s="31" t="n"/>
      <c r="D157" s="11" t="n"/>
      <c r="E157" s="11" t="n"/>
      <c r="F157" s="31" t="n"/>
      <c r="G157" s="32">
        <f>IF(OR(D157="",D157=0,E157=""),"",E157/D157)</f>
        <v/>
      </c>
      <c r="H157" s="33">
        <f>IF(E157="","",IF(E157&gt;0,"vinto",IF(E157&lt;0,"perso","pari")))</f>
        <v/>
      </c>
      <c r="I157" s="31" t="n"/>
    </row>
    <row r="158">
      <c r="A158" s="30" t="n"/>
      <c r="B158" s="31" t="n"/>
      <c r="C158" s="31" t="n"/>
      <c r="D158" s="11" t="n"/>
      <c r="E158" s="11" t="n"/>
      <c r="F158" s="31" t="n"/>
      <c r="G158" s="32">
        <f>IF(OR(D158="",D158=0,E158=""),"",E158/D158)</f>
        <v/>
      </c>
      <c r="H158" s="33">
        <f>IF(E158="","",IF(E158&gt;0,"vinto",IF(E158&lt;0,"perso","pari")))</f>
        <v/>
      </c>
      <c r="I158" s="31" t="n"/>
    </row>
    <row r="159">
      <c r="A159" s="30" t="n"/>
      <c r="B159" s="31" t="n"/>
      <c r="C159" s="31" t="n"/>
      <c r="D159" s="11" t="n"/>
      <c r="E159" s="11" t="n"/>
      <c r="F159" s="31" t="n"/>
      <c r="G159" s="32">
        <f>IF(OR(D159="",D159=0,E159=""),"",E159/D159)</f>
        <v/>
      </c>
      <c r="H159" s="33">
        <f>IF(E159="","",IF(E159&gt;0,"vinto",IF(E159&lt;0,"perso","pari")))</f>
        <v/>
      </c>
      <c r="I159" s="31" t="n"/>
    </row>
    <row r="160">
      <c r="A160" s="30" t="n"/>
      <c r="B160" s="31" t="n"/>
      <c r="C160" s="31" t="n"/>
      <c r="D160" s="11" t="n"/>
      <c r="E160" s="11" t="n"/>
      <c r="F160" s="31" t="n"/>
      <c r="G160" s="32">
        <f>IF(OR(D160="",D160=0,E160=""),"",E160/D160)</f>
        <v/>
      </c>
      <c r="H160" s="33">
        <f>IF(E160="","",IF(E160&gt;0,"vinto",IF(E160&lt;0,"perso","pari")))</f>
        <v/>
      </c>
      <c r="I160" s="31" t="n"/>
    </row>
    <row r="161">
      <c r="A161" s="30" t="n"/>
      <c r="B161" s="31" t="n"/>
      <c r="C161" s="31" t="n"/>
      <c r="D161" s="11" t="n"/>
      <c r="E161" s="11" t="n"/>
      <c r="F161" s="31" t="n"/>
      <c r="G161" s="32">
        <f>IF(OR(D161="",D161=0,E161=""),"",E161/D161)</f>
        <v/>
      </c>
      <c r="H161" s="33">
        <f>IF(E161="","",IF(E161&gt;0,"vinto",IF(E161&lt;0,"perso","pari")))</f>
        <v/>
      </c>
      <c r="I161" s="31" t="n"/>
    </row>
    <row r="162">
      <c r="A162" s="30" t="n"/>
      <c r="B162" s="31" t="n"/>
      <c r="C162" s="31" t="n"/>
      <c r="D162" s="11" t="n"/>
      <c r="E162" s="11" t="n"/>
      <c r="F162" s="31" t="n"/>
      <c r="G162" s="32">
        <f>IF(OR(D162="",D162=0,E162=""),"",E162/D162)</f>
        <v/>
      </c>
      <c r="H162" s="33">
        <f>IF(E162="","",IF(E162&gt;0,"vinto",IF(E162&lt;0,"perso","pari")))</f>
        <v/>
      </c>
      <c r="I162" s="31" t="n"/>
    </row>
    <row r="163">
      <c r="A163" s="30" t="n"/>
      <c r="B163" s="31" t="n"/>
      <c r="C163" s="31" t="n"/>
      <c r="D163" s="11" t="n"/>
      <c r="E163" s="11" t="n"/>
      <c r="F163" s="31" t="n"/>
      <c r="G163" s="32">
        <f>IF(OR(D163="",D163=0,E163=""),"",E163/D163)</f>
        <v/>
      </c>
      <c r="H163" s="33">
        <f>IF(E163="","",IF(E163&gt;0,"vinto",IF(E163&lt;0,"perso","pari")))</f>
        <v/>
      </c>
      <c r="I163" s="31" t="n"/>
    </row>
    <row r="164">
      <c r="A164" s="30" t="n"/>
      <c r="B164" s="31" t="n"/>
      <c r="C164" s="31" t="n"/>
      <c r="D164" s="11" t="n"/>
      <c r="E164" s="11" t="n"/>
      <c r="F164" s="31" t="n"/>
      <c r="G164" s="32">
        <f>IF(OR(D164="",D164=0,E164=""),"",E164/D164)</f>
        <v/>
      </c>
      <c r="H164" s="33">
        <f>IF(E164="","",IF(E164&gt;0,"vinto",IF(E164&lt;0,"perso","pari")))</f>
        <v/>
      </c>
      <c r="I164" s="31" t="n"/>
    </row>
    <row r="165">
      <c r="A165" s="30" t="n"/>
      <c r="B165" s="31" t="n"/>
      <c r="C165" s="31" t="n"/>
      <c r="D165" s="11" t="n"/>
      <c r="E165" s="11" t="n"/>
      <c r="F165" s="31" t="n"/>
      <c r="G165" s="32">
        <f>IF(OR(D165="",D165=0,E165=""),"",E165/D165)</f>
        <v/>
      </c>
      <c r="H165" s="33">
        <f>IF(E165="","",IF(E165&gt;0,"vinto",IF(E165&lt;0,"perso","pari")))</f>
        <v/>
      </c>
      <c r="I165" s="31" t="n"/>
    </row>
    <row r="166">
      <c r="A166" s="30" t="n"/>
      <c r="B166" s="31" t="n"/>
      <c r="C166" s="31" t="n"/>
      <c r="D166" s="11" t="n"/>
      <c r="E166" s="11" t="n"/>
      <c r="F166" s="31" t="n"/>
      <c r="G166" s="32">
        <f>IF(OR(D166="",D166=0,E166=""),"",E166/D166)</f>
        <v/>
      </c>
      <c r="H166" s="33">
        <f>IF(E166="","",IF(E166&gt;0,"vinto",IF(E166&lt;0,"perso","pari")))</f>
        <v/>
      </c>
      <c r="I166" s="31" t="n"/>
    </row>
    <row r="167">
      <c r="A167" s="30" t="n"/>
      <c r="B167" s="31" t="n"/>
      <c r="C167" s="31" t="n"/>
      <c r="D167" s="11" t="n"/>
      <c r="E167" s="11" t="n"/>
      <c r="F167" s="31" t="n"/>
      <c r="G167" s="32">
        <f>IF(OR(D167="",D167=0,E167=""),"",E167/D167)</f>
        <v/>
      </c>
      <c r="H167" s="33">
        <f>IF(E167="","",IF(E167&gt;0,"vinto",IF(E167&lt;0,"perso","pari")))</f>
        <v/>
      </c>
      <c r="I167" s="31" t="n"/>
    </row>
    <row r="168">
      <c r="A168" s="30" t="n"/>
      <c r="B168" s="31" t="n"/>
      <c r="C168" s="31" t="n"/>
      <c r="D168" s="11" t="n"/>
      <c r="E168" s="11" t="n"/>
      <c r="F168" s="31" t="n"/>
      <c r="G168" s="32">
        <f>IF(OR(D168="",D168=0,E168=""),"",E168/D168)</f>
        <v/>
      </c>
      <c r="H168" s="33">
        <f>IF(E168="","",IF(E168&gt;0,"vinto",IF(E168&lt;0,"perso","pari")))</f>
        <v/>
      </c>
      <c r="I168" s="31" t="n"/>
    </row>
    <row r="169">
      <c r="A169" s="30" t="n"/>
      <c r="B169" s="31" t="n"/>
      <c r="C169" s="31" t="n"/>
      <c r="D169" s="11" t="n"/>
      <c r="E169" s="11" t="n"/>
      <c r="F169" s="31" t="n"/>
      <c r="G169" s="32">
        <f>IF(OR(D169="",D169=0,E169=""),"",E169/D169)</f>
        <v/>
      </c>
      <c r="H169" s="33">
        <f>IF(E169="","",IF(E169&gt;0,"vinto",IF(E169&lt;0,"perso","pari")))</f>
        <v/>
      </c>
      <c r="I169" s="31" t="n"/>
    </row>
    <row r="170">
      <c r="A170" s="30" t="n"/>
      <c r="B170" s="31" t="n"/>
      <c r="C170" s="31" t="n"/>
      <c r="D170" s="11" t="n"/>
      <c r="E170" s="11" t="n"/>
      <c r="F170" s="31" t="n"/>
      <c r="G170" s="32">
        <f>IF(OR(D170="",D170=0,E170=""),"",E170/D170)</f>
        <v/>
      </c>
      <c r="H170" s="33">
        <f>IF(E170="","",IF(E170&gt;0,"vinto",IF(E170&lt;0,"perso","pari")))</f>
        <v/>
      </c>
      <c r="I170" s="31" t="n"/>
    </row>
    <row r="171">
      <c r="A171" s="30" t="n"/>
      <c r="B171" s="31" t="n"/>
      <c r="C171" s="31" t="n"/>
      <c r="D171" s="11" t="n"/>
      <c r="E171" s="11" t="n"/>
      <c r="F171" s="31" t="n"/>
      <c r="G171" s="32">
        <f>IF(OR(D171="",D171=0,E171=""),"",E171/D171)</f>
        <v/>
      </c>
      <c r="H171" s="33">
        <f>IF(E171="","",IF(E171&gt;0,"vinto",IF(E171&lt;0,"perso","pari")))</f>
        <v/>
      </c>
      <c r="I171" s="31" t="n"/>
    </row>
    <row r="172">
      <c r="A172" s="30" t="n"/>
      <c r="B172" s="31" t="n"/>
      <c r="C172" s="31" t="n"/>
      <c r="D172" s="11" t="n"/>
      <c r="E172" s="11" t="n"/>
      <c r="F172" s="31" t="n"/>
      <c r="G172" s="32">
        <f>IF(OR(D172="",D172=0,E172=""),"",E172/D172)</f>
        <v/>
      </c>
      <c r="H172" s="33">
        <f>IF(E172="","",IF(E172&gt;0,"vinto",IF(E172&lt;0,"perso","pari")))</f>
        <v/>
      </c>
      <c r="I172" s="31" t="n"/>
    </row>
    <row r="173">
      <c r="A173" s="30" t="n"/>
      <c r="B173" s="31" t="n"/>
      <c r="C173" s="31" t="n"/>
      <c r="D173" s="11" t="n"/>
      <c r="E173" s="11" t="n"/>
      <c r="F173" s="31" t="n"/>
      <c r="G173" s="32">
        <f>IF(OR(D173="",D173=0,E173=""),"",E173/D173)</f>
        <v/>
      </c>
      <c r="H173" s="33">
        <f>IF(E173="","",IF(E173&gt;0,"vinto",IF(E173&lt;0,"perso","pari")))</f>
        <v/>
      </c>
      <c r="I173" s="31" t="n"/>
    </row>
    <row r="174">
      <c r="A174" s="30" t="n"/>
      <c r="B174" s="31" t="n"/>
      <c r="C174" s="31" t="n"/>
      <c r="D174" s="11" t="n"/>
      <c r="E174" s="11" t="n"/>
      <c r="F174" s="31" t="n"/>
      <c r="G174" s="32">
        <f>IF(OR(D174="",D174=0,E174=""),"",E174/D174)</f>
        <v/>
      </c>
      <c r="H174" s="33">
        <f>IF(E174="","",IF(E174&gt;0,"vinto",IF(E174&lt;0,"perso","pari")))</f>
        <v/>
      </c>
      <c r="I174" s="31" t="n"/>
    </row>
    <row r="175">
      <c r="A175" s="30" t="n"/>
      <c r="B175" s="31" t="n"/>
      <c r="C175" s="31" t="n"/>
      <c r="D175" s="11" t="n"/>
      <c r="E175" s="11" t="n"/>
      <c r="F175" s="31" t="n"/>
      <c r="G175" s="32">
        <f>IF(OR(D175="",D175=0,E175=""),"",E175/D175)</f>
        <v/>
      </c>
      <c r="H175" s="33">
        <f>IF(E175="","",IF(E175&gt;0,"vinto",IF(E175&lt;0,"perso","pari")))</f>
        <v/>
      </c>
      <c r="I175" s="31" t="n"/>
    </row>
    <row r="176">
      <c r="A176" s="30" t="n"/>
      <c r="B176" s="31" t="n"/>
      <c r="C176" s="31" t="n"/>
      <c r="D176" s="11" t="n"/>
      <c r="E176" s="11" t="n"/>
      <c r="F176" s="31" t="n"/>
      <c r="G176" s="32">
        <f>IF(OR(D176="",D176=0,E176=""),"",E176/D176)</f>
        <v/>
      </c>
      <c r="H176" s="33">
        <f>IF(E176="","",IF(E176&gt;0,"vinto",IF(E176&lt;0,"perso","pari")))</f>
        <v/>
      </c>
      <c r="I176" s="31" t="n"/>
    </row>
    <row r="177">
      <c r="A177" s="30" t="n"/>
      <c r="B177" s="31" t="n"/>
      <c r="C177" s="31" t="n"/>
      <c r="D177" s="11" t="n"/>
      <c r="E177" s="11" t="n"/>
      <c r="F177" s="31" t="n"/>
      <c r="G177" s="32">
        <f>IF(OR(D177="",D177=0,E177=""),"",E177/D177)</f>
        <v/>
      </c>
      <c r="H177" s="33">
        <f>IF(E177="","",IF(E177&gt;0,"vinto",IF(E177&lt;0,"perso","pari")))</f>
        <v/>
      </c>
      <c r="I177" s="31" t="n"/>
    </row>
    <row r="178">
      <c r="A178" s="30" t="n"/>
      <c r="B178" s="31" t="n"/>
      <c r="C178" s="31" t="n"/>
      <c r="D178" s="11" t="n"/>
      <c r="E178" s="11" t="n"/>
      <c r="F178" s="31" t="n"/>
      <c r="G178" s="32">
        <f>IF(OR(D178="",D178=0,E178=""),"",E178/D178)</f>
        <v/>
      </c>
      <c r="H178" s="33">
        <f>IF(E178="","",IF(E178&gt;0,"vinto",IF(E178&lt;0,"perso","pari")))</f>
        <v/>
      </c>
      <c r="I178" s="31" t="n"/>
    </row>
    <row r="179">
      <c r="A179" s="30" t="n"/>
      <c r="B179" s="31" t="n"/>
      <c r="C179" s="31" t="n"/>
      <c r="D179" s="11" t="n"/>
      <c r="E179" s="11" t="n"/>
      <c r="F179" s="31" t="n"/>
      <c r="G179" s="32">
        <f>IF(OR(D179="",D179=0,E179=""),"",E179/D179)</f>
        <v/>
      </c>
      <c r="H179" s="33">
        <f>IF(E179="","",IF(E179&gt;0,"vinto",IF(E179&lt;0,"perso","pari")))</f>
        <v/>
      </c>
      <c r="I179" s="31" t="n"/>
    </row>
    <row r="180">
      <c r="A180" s="30" t="n"/>
      <c r="B180" s="31" t="n"/>
      <c r="C180" s="31" t="n"/>
      <c r="D180" s="11" t="n"/>
      <c r="E180" s="11" t="n"/>
      <c r="F180" s="31" t="n"/>
      <c r="G180" s="32">
        <f>IF(OR(D180="",D180=0,E180=""),"",E180/D180)</f>
        <v/>
      </c>
      <c r="H180" s="33">
        <f>IF(E180="","",IF(E180&gt;0,"vinto",IF(E180&lt;0,"perso","pari")))</f>
        <v/>
      </c>
      <c r="I180" s="31" t="n"/>
    </row>
    <row r="181">
      <c r="A181" s="30" t="n"/>
      <c r="B181" s="31" t="n"/>
      <c r="C181" s="31" t="n"/>
      <c r="D181" s="11" t="n"/>
      <c r="E181" s="11" t="n"/>
      <c r="F181" s="31" t="n"/>
      <c r="G181" s="32">
        <f>IF(OR(D181="",D181=0,E181=""),"",E181/D181)</f>
        <v/>
      </c>
      <c r="H181" s="33">
        <f>IF(E181="","",IF(E181&gt;0,"vinto",IF(E181&lt;0,"perso","pari")))</f>
        <v/>
      </c>
      <c r="I181" s="31" t="n"/>
    </row>
    <row r="182">
      <c r="A182" s="30" t="n"/>
      <c r="B182" s="31" t="n"/>
      <c r="C182" s="31" t="n"/>
      <c r="D182" s="11" t="n"/>
      <c r="E182" s="11" t="n"/>
      <c r="F182" s="31" t="n"/>
      <c r="G182" s="32">
        <f>IF(OR(D182="",D182=0,E182=""),"",E182/D182)</f>
        <v/>
      </c>
      <c r="H182" s="33">
        <f>IF(E182="","",IF(E182&gt;0,"vinto",IF(E182&lt;0,"perso","pari")))</f>
        <v/>
      </c>
      <c r="I182" s="31" t="n"/>
    </row>
    <row r="183">
      <c r="A183" s="30" t="n"/>
      <c r="B183" s="31" t="n"/>
      <c r="C183" s="31" t="n"/>
      <c r="D183" s="11" t="n"/>
      <c r="E183" s="11" t="n"/>
      <c r="F183" s="31" t="n"/>
      <c r="G183" s="32">
        <f>IF(OR(D183="",D183=0,E183=""),"",E183/D183)</f>
        <v/>
      </c>
      <c r="H183" s="33">
        <f>IF(E183="","",IF(E183&gt;0,"vinto",IF(E183&lt;0,"perso","pari")))</f>
        <v/>
      </c>
      <c r="I183" s="31" t="n"/>
    </row>
    <row r="184">
      <c r="A184" s="30" t="n"/>
      <c r="B184" s="31" t="n"/>
      <c r="C184" s="31" t="n"/>
      <c r="D184" s="11" t="n"/>
      <c r="E184" s="11" t="n"/>
      <c r="F184" s="31" t="n"/>
      <c r="G184" s="32">
        <f>IF(OR(D184="",D184=0,E184=""),"",E184/D184)</f>
        <v/>
      </c>
      <c r="H184" s="33">
        <f>IF(E184="","",IF(E184&gt;0,"vinto",IF(E184&lt;0,"perso","pari")))</f>
        <v/>
      </c>
      <c r="I184" s="31" t="n"/>
    </row>
    <row r="185">
      <c r="A185" s="30" t="n"/>
      <c r="B185" s="31" t="n"/>
      <c r="C185" s="31" t="n"/>
      <c r="D185" s="11" t="n"/>
      <c r="E185" s="11" t="n"/>
      <c r="F185" s="31" t="n"/>
      <c r="G185" s="32">
        <f>IF(OR(D185="",D185=0,E185=""),"",E185/D185)</f>
        <v/>
      </c>
      <c r="H185" s="33">
        <f>IF(E185="","",IF(E185&gt;0,"vinto",IF(E185&lt;0,"perso","pari")))</f>
        <v/>
      </c>
      <c r="I185" s="31" t="n"/>
    </row>
    <row r="186">
      <c r="A186" s="30" t="n"/>
      <c r="B186" s="31" t="n"/>
      <c r="C186" s="31" t="n"/>
      <c r="D186" s="11" t="n"/>
      <c r="E186" s="11" t="n"/>
      <c r="F186" s="31" t="n"/>
      <c r="G186" s="32">
        <f>IF(OR(D186="",D186=0,E186=""),"",E186/D186)</f>
        <v/>
      </c>
      <c r="H186" s="33">
        <f>IF(E186="","",IF(E186&gt;0,"vinto",IF(E186&lt;0,"perso","pari")))</f>
        <v/>
      </c>
      <c r="I186" s="31" t="n"/>
    </row>
    <row r="187">
      <c r="A187" s="30" t="n"/>
      <c r="B187" s="31" t="n"/>
      <c r="C187" s="31" t="n"/>
      <c r="D187" s="11" t="n"/>
      <c r="E187" s="11" t="n"/>
      <c r="F187" s="31" t="n"/>
      <c r="G187" s="32">
        <f>IF(OR(D187="",D187=0,E187=""),"",E187/D187)</f>
        <v/>
      </c>
      <c r="H187" s="33">
        <f>IF(E187="","",IF(E187&gt;0,"vinto",IF(E187&lt;0,"perso","pari")))</f>
        <v/>
      </c>
      <c r="I187" s="31" t="n"/>
    </row>
    <row r="188">
      <c r="A188" s="30" t="n"/>
      <c r="B188" s="31" t="n"/>
      <c r="C188" s="31" t="n"/>
      <c r="D188" s="11" t="n"/>
      <c r="E188" s="11" t="n"/>
      <c r="F188" s="31" t="n"/>
      <c r="G188" s="32">
        <f>IF(OR(D188="",D188=0,E188=""),"",E188/D188)</f>
        <v/>
      </c>
      <c r="H188" s="33">
        <f>IF(E188="","",IF(E188&gt;0,"vinto",IF(E188&lt;0,"perso","pari")))</f>
        <v/>
      </c>
      <c r="I188" s="31" t="n"/>
    </row>
    <row r="189">
      <c r="A189" s="30" t="n"/>
      <c r="B189" s="31" t="n"/>
      <c r="C189" s="31" t="n"/>
      <c r="D189" s="11" t="n"/>
      <c r="E189" s="11" t="n"/>
      <c r="F189" s="31" t="n"/>
      <c r="G189" s="32">
        <f>IF(OR(D189="",D189=0,E189=""),"",E189/D189)</f>
        <v/>
      </c>
      <c r="H189" s="33">
        <f>IF(E189="","",IF(E189&gt;0,"vinto",IF(E189&lt;0,"perso","pari")))</f>
        <v/>
      </c>
      <c r="I189" s="31" t="n"/>
    </row>
    <row r="190">
      <c r="A190" s="30" t="n"/>
      <c r="B190" s="31" t="n"/>
      <c r="C190" s="31" t="n"/>
      <c r="D190" s="11" t="n"/>
      <c r="E190" s="11" t="n"/>
      <c r="F190" s="31" t="n"/>
      <c r="G190" s="32">
        <f>IF(OR(D190="",D190=0,E190=""),"",E190/D190)</f>
        <v/>
      </c>
      <c r="H190" s="33">
        <f>IF(E190="","",IF(E190&gt;0,"vinto",IF(E190&lt;0,"perso","pari")))</f>
        <v/>
      </c>
      <c r="I190" s="31" t="n"/>
    </row>
    <row r="191">
      <c r="A191" s="30" t="n"/>
      <c r="B191" s="31" t="n"/>
      <c r="C191" s="31" t="n"/>
      <c r="D191" s="11" t="n"/>
      <c r="E191" s="11" t="n"/>
      <c r="F191" s="31" t="n"/>
      <c r="G191" s="32">
        <f>IF(OR(D191="",D191=0,E191=""),"",E191/D191)</f>
        <v/>
      </c>
      <c r="H191" s="33">
        <f>IF(E191="","",IF(E191&gt;0,"vinto",IF(E191&lt;0,"perso","pari")))</f>
        <v/>
      </c>
      <c r="I191" s="31" t="n"/>
    </row>
    <row r="192">
      <c r="A192" s="30" t="n"/>
      <c r="B192" s="31" t="n"/>
      <c r="C192" s="31" t="n"/>
      <c r="D192" s="11" t="n"/>
      <c r="E192" s="11" t="n"/>
      <c r="F192" s="31" t="n"/>
      <c r="G192" s="32">
        <f>IF(OR(D192="",D192=0,E192=""),"",E192/D192)</f>
        <v/>
      </c>
      <c r="H192" s="33">
        <f>IF(E192="","",IF(E192&gt;0,"vinto",IF(E192&lt;0,"perso","pari")))</f>
        <v/>
      </c>
      <c r="I192" s="31" t="n"/>
    </row>
    <row r="193">
      <c r="A193" s="30" t="n"/>
      <c r="B193" s="31" t="n"/>
      <c r="C193" s="31" t="n"/>
      <c r="D193" s="11" t="n"/>
      <c r="E193" s="11" t="n"/>
      <c r="F193" s="31" t="n"/>
      <c r="G193" s="32">
        <f>IF(OR(D193="",D193=0,E193=""),"",E193/D193)</f>
        <v/>
      </c>
      <c r="H193" s="33">
        <f>IF(E193="","",IF(E193&gt;0,"vinto",IF(E193&lt;0,"perso","pari")))</f>
        <v/>
      </c>
      <c r="I193" s="31" t="n"/>
    </row>
    <row r="194">
      <c r="A194" s="30" t="n"/>
      <c r="B194" s="31" t="n"/>
      <c r="C194" s="31" t="n"/>
      <c r="D194" s="11" t="n"/>
      <c r="E194" s="11" t="n"/>
      <c r="F194" s="31" t="n"/>
      <c r="G194" s="32">
        <f>IF(OR(D194="",D194=0,E194=""),"",E194/D194)</f>
        <v/>
      </c>
      <c r="H194" s="33">
        <f>IF(E194="","",IF(E194&gt;0,"vinto",IF(E194&lt;0,"perso","pari")))</f>
        <v/>
      </c>
      <c r="I194" s="31" t="n"/>
    </row>
    <row r="195">
      <c r="A195" s="30" t="n"/>
      <c r="B195" s="31" t="n"/>
      <c r="C195" s="31" t="n"/>
      <c r="D195" s="11" t="n"/>
      <c r="E195" s="11" t="n"/>
      <c r="F195" s="31" t="n"/>
      <c r="G195" s="32">
        <f>IF(OR(D195="",D195=0,E195=""),"",E195/D195)</f>
        <v/>
      </c>
      <c r="H195" s="33">
        <f>IF(E195="","",IF(E195&gt;0,"vinto",IF(E195&lt;0,"perso","pari")))</f>
        <v/>
      </c>
      <c r="I195" s="31" t="n"/>
    </row>
    <row r="196">
      <c r="A196" s="30" t="n"/>
      <c r="B196" s="31" t="n"/>
      <c r="C196" s="31" t="n"/>
      <c r="D196" s="11" t="n"/>
      <c r="E196" s="11" t="n"/>
      <c r="F196" s="31" t="n"/>
      <c r="G196" s="32">
        <f>IF(OR(D196="",D196=0,E196=""),"",E196/D196)</f>
        <v/>
      </c>
      <c r="H196" s="33">
        <f>IF(E196="","",IF(E196&gt;0,"vinto",IF(E196&lt;0,"perso","pari")))</f>
        <v/>
      </c>
      <c r="I196" s="31" t="n"/>
    </row>
    <row r="197">
      <c r="A197" s="30" t="n"/>
      <c r="B197" s="31" t="n"/>
      <c r="C197" s="31" t="n"/>
      <c r="D197" s="11" t="n"/>
      <c r="E197" s="11" t="n"/>
      <c r="F197" s="31" t="n"/>
      <c r="G197" s="32">
        <f>IF(OR(D197="",D197=0,E197=""),"",E197/D197)</f>
        <v/>
      </c>
      <c r="H197" s="33">
        <f>IF(E197="","",IF(E197&gt;0,"vinto",IF(E197&lt;0,"perso","pari")))</f>
        <v/>
      </c>
      <c r="I197" s="31" t="n"/>
    </row>
    <row r="198">
      <c r="A198" s="30" t="n"/>
      <c r="B198" s="31" t="n"/>
      <c r="C198" s="31" t="n"/>
      <c r="D198" s="11" t="n"/>
      <c r="E198" s="11" t="n"/>
      <c r="F198" s="31" t="n"/>
      <c r="G198" s="32">
        <f>IF(OR(D198="",D198=0,E198=""),"",E198/D198)</f>
        <v/>
      </c>
      <c r="H198" s="33">
        <f>IF(E198="","",IF(E198&gt;0,"vinto",IF(E198&lt;0,"perso","pari")))</f>
        <v/>
      </c>
      <c r="I198" s="31" t="n"/>
    </row>
    <row r="199">
      <c r="A199" s="30" t="n"/>
      <c r="B199" s="31" t="n"/>
      <c r="C199" s="31" t="n"/>
      <c r="D199" s="11" t="n"/>
      <c r="E199" s="11" t="n"/>
      <c r="F199" s="31" t="n"/>
      <c r="G199" s="32">
        <f>IF(OR(D199="",D199=0,E199=""),"",E199/D199)</f>
        <v/>
      </c>
      <c r="H199" s="33">
        <f>IF(E199="","",IF(E199&gt;0,"vinto",IF(E199&lt;0,"perso","pari")))</f>
        <v/>
      </c>
      <c r="I199" s="31" t="n"/>
    </row>
    <row r="200">
      <c r="A200" s="30" t="n"/>
      <c r="B200" s="31" t="n"/>
      <c r="C200" s="31" t="n"/>
      <c r="D200" s="11" t="n"/>
      <c r="E200" s="11" t="n"/>
      <c r="F200" s="31" t="n"/>
      <c r="G200" s="32">
        <f>IF(OR(D200="",D200=0,E200=""),"",E200/D200)</f>
        <v/>
      </c>
      <c r="H200" s="33">
        <f>IF(E200="","",IF(E200&gt;0,"vinto",IF(E200&lt;0,"perso","pari")))</f>
        <v/>
      </c>
      <c r="I200" s="31" t="n"/>
    </row>
    <row r="201">
      <c r="A201" s="30" t="n"/>
      <c r="B201" s="31" t="n"/>
      <c r="C201" s="31" t="n"/>
      <c r="D201" s="11" t="n"/>
      <c r="E201" s="11" t="n"/>
      <c r="F201" s="31" t="n"/>
      <c r="G201" s="32">
        <f>IF(OR(D201="",D201=0,E201=""),"",E201/D201)</f>
        <v/>
      </c>
      <c r="H201" s="33">
        <f>IF(E201="","",IF(E201&gt;0,"vinto",IF(E201&lt;0,"perso","pari")))</f>
        <v/>
      </c>
      <c r="I201" s="31" t="n"/>
    </row>
    <row r="202">
      <c r="A202" s="30" t="n"/>
      <c r="B202" s="31" t="n"/>
      <c r="C202" s="31" t="n"/>
      <c r="D202" s="11" t="n"/>
      <c r="E202" s="11" t="n"/>
      <c r="F202" s="31" t="n"/>
      <c r="G202" s="32">
        <f>IF(OR(D202="",D202=0,E202=""),"",E202/D202)</f>
        <v/>
      </c>
      <c r="H202" s="33">
        <f>IF(E202="","",IF(E202&gt;0,"vinto",IF(E202&lt;0,"perso","pari")))</f>
        <v/>
      </c>
      <c r="I202" s="31" t="n"/>
    </row>
    <row r="203">
      <c r="A203" s="30" t="n"/>
      <c r="B203" s="31" t="n"/>
      <c r="C203" s="31" t="n"/>
      <c r="D203" s="11" t="n"/>
      <c r="E203" s="11" t="n"/>
      <c r="F203" s="31" t="n"/>
      <c r="G203" s="32">
        <f>IF(OR(D203="",D203=0,E203=""),"",E203/D203)</f>
        <v/>
      </c>
      <c r="H203" s="33">
        <f>IF(E203="","",IF(E203&gt;0,"vinto",IF(E203&lt;0,"perso","pari")))</f>
        <v/>
      </c>
      <c r="I203" s="31" t="n"/>
    </row>
    <row r="204">
      <c r="A204" s="30" t="n"/>
      <c r="B204" s="31" t="n"/>
      <c r="C204" s="31" t="n"/>
      <c r="D204" s="11" t="n"/>
      <c r="E204" s="11" t="n"/>
      <c r="F204" s="31" t="n"/>
      <c r="G204" s="32">
        <f>IF(OR(D204="",D204=0,E204=""),"",E204/D204)</f>
        <v/>
      </c>
      <c r="H204" s="33">
        <f>IF(E204="","",IF(E204&gt;0,"vinto",IF(E204&lt;0,"perso","pari")))</f>
        <v/>
      </c>
      <c r="I204" s="31" t="n"/>
    </row>
    <row r="205">
      <c r="A205" s="30" t="n"/>
      <c r="B205" s="31" t="n"/>
      <c r="C205" s="31" t="n"/>
      <c r="D205" s="11" t="n"/>
      <c r="E205" s="11" t="n"/>
      <c r="F205" s="31" t="n"/>
      <c r="G205" s="32">
        <f>IF(OR(D205="",D205=0,E205=""),"",E205/D205)</f>
        <v/>
      </c>
      <c r="H205" s="33">
        <f>IF(E205="","",IF(E205&gt;0,"vinto",IF(E205&lt;0,"perso","pari")))</f>
        <v/>
      </c>
      <c r="I205" s="31" t="n"/>
    </row>
    <row r="206">
      <c r="A206" s="30" t="n"/>
      <c r="B206" s="31" t="n"/>
      <c r="C206" s="31" t="n"/>
      <c r="D206" s="11" t="n"/>
      <c r="E206" s="11" t="n"/>
      <c r="F206" s="31" t="n"/>
      <c r="G206" s="32">
        <f>IF(OR(D206="",D206=0,E206=""),"",E206/D206)</f>
        <v/>
      </c>
      <c r="H206" s="33">
        <f>IF(E206="","",IF(E206&gt;0,"vinto",IF(E206&lt;0,"perso","pari")))</f>
        <v/>
      </c>
      <c r="I206" s="31" t="n"/>
    </row>
    <row r="207">
      <c r="A207" s="30" t="n"/>
      <c r="B207" s="31" t="n"/>
      <c r="C207" s="31" t="n"/>
      <c r="D207" s="11" t="n"/>
      <c r="E207" s="11" t="n"/>
      <c r="F207" s="31" t="n"/>
      <c r="G207" s="32">
        <f>IF(OR(D207="",D207=0,E207=""),"",E207/D207)</f>
        <v/>
      </c>
      <c r="H207" s="33">
        <f>IF(E207="","",IF(E207&gt;0,"vinto",IF(E207&lt;0,"perso","pari")))</f>
        <v/>
      </c>
      <c r="I207" s="31" t="n"/>
    </row>
    <row r="208">
      <c r="A208" s="30" t="n"/>
      <c r="B208" s="31" t="n"/>
      <c r="C208" s="31" t="n"/>
      <c r="D208" s="11" t="n"/>
      <c r="E208" s="11" t="n"/>
      <c r="F208" s="31" t="n"/>
      <c r="G208" s="32">
        <f>IF(OR(D208="",D208=0,E208=""),"",E208/D208)</f>
        <v/>
      </c>
      <c r="H208" s="33">
        <f>IF(E208="","",IF(E208&gt;0,"vinto",IF(E208&lt;0,"perso","pari")))</f>
        <v/>
      </c>
      <c r="I208" s="31" t="n"/>
    </row>
    <row r="209">
      <c r="A209" s="30" t="n"/>
      <c r="B209" s="31" t="n"/>
      <c r="C209" s="31" t="n"/>
      <c r="D209" s="11" t="n"/>
      <c r="E209" s="11" t="n"/>
      <c r="F209" s="31" t="n"/>
      <c r="G209" s="32">
        <f>IF(OR(D209="",D209=0,E209=""),"",E209/D209)</f>
        <v/>
      </c>
      <c r="H209" s="33">
        <f>IF(E209="","",IF(E209&gt;0,"vinto",IF(E209&lt;0,"perso","pari")))</f>
        <v/>
      </c>
      <c r="I209" s="31" t="n"/>
    </row>
    <row r="210">
      <c r="A210" s="30" t="n"/>
      <c r="B210" s="31" t="n"/>
      <c r="C210" s="31" t="n"/>
      <c r="D210" s="11" t="n"/>
      <c r="E210" s="11" t="n"/>
      <c r="F210" s="31" t="n"/>
      <c r="G210" s="32">
        <f>IF(OR(D210="",D210=0,E210=""),"",E210/D210)</f>
        <v/>
      </c>
      <c r="H210" s="33">
        <f>IF(E210="","",IF(E210&gt;0,"vinto",IF(E210&lt;0,"perso","pari")))</f>
        <v/>
      </c>
      <c r="I210" s="31" t="n"/>
    </row>
    <row r="211">
      <c r="A211" s="30" t="n"/>
      <c r="B211" s="31" t="n"/>
      <c r="C211" s="31" t="n"/>
      <c r="D211" s="11" t="n"/>
      <c r="E211" s="11" t="n"/>
      <c r="F211" s="31" t="n"/>
      <c r="G211" s="32">
        <f>IF(OR(D211="",D211=0,E211=""),"",E211/D211)</f>
        <v/>
      </c>
      <c r="H211" s="33">
        <f>IF(E211="","",IF(E211&gt;0,"vinto",IF(E211&lt;0,"perso","pari")))</f>
        <v/>
      </c>
      <c r="I211" s="31" t="n"/>
    </row>
    <row r="212">
      <c r="A212" s="30" t="n"/>
      <c r="B212" s="31" t="n"/>
      <c r="C212" s="31" t="n"/>
      <c r="D212" s="11" t="n"/>
      <c r="E212" s="11" t="n"/>
      <c r="F212" s="31" t="n"/>
      <c r="G212" s="32">
        <f>IF(OR(D212="",D212=0,E212=""),"",E212/D212)</f>
        <v/>
      </c>
      <c r="H212" s="33">
        <f>IF(E212="","",IF(E212&gt;0,"vinto",IF(E212&lt;0,"perso","pari")))</f>
        <v/>
      </c>
      <c r="I212" s="31" t="n"/>
    </row>
    <row r="213">
      <c r="A213" s="30" t="n"/>
      <c r="B213" s="31" t="n"/>
      <c r="C213" s="31" t="n"/>
      <c r="D213" s="11" t="n"/>
      <c r="E213" s="11" t="n"/>
      <c r="F213" s="31" t="n"/>
      <c r="G213" s="32">
        <f>IF(OR(D213="",D213=0,E213=""),"",E213/D213)</f>
        <v/>
      </c>
      <c r="H213" s="33">
        <f>IF(E213="","",IF(E213&gt;0,"vinto",IF(E213&lt;0,"perso","pari")))</f>
        <v/>
      </c>
      <c r="I213" s="31" t="n"/>
    </row>
    <row r="214">
      <c r="A214" s="30" t="n"/>
      <c r="B214" s="31" t="n"/>
      <c r="C214" s="31" t="n"/>
      <c r="D214" s="11" t="n"/>
      <c r="E214" s="11" t="n"/>
      <c r="F214" s="31" t="n"/>
      <c r="G214" s="32">
        <f>IF(OR(D214="",D214=0,E214=""),"",E214/D214)</f>
        <v/>
      </c>
      <c r="H214" s="33">
        <f>IF(E214="","",IF(E214&gt;0,"vinto",IF(E214&lt;0,"perso","pari")))</f>
        <v/>
      </c>
      <c r="I214" s="31" t="n"/>
    </row>
    <row r="215">
      <c r="A215" s="30" t="n"/>
      <c r="B215" s="31" t="n"/>
      <c r="C215" s="31" t="n"/>
      <c r="D215" s="11" t="n"/>
      <c r="E215" s="11" t="n"/>
      <c r="F215" s="31" t="n"/>
      <c r="G215" s="32">
        <f>IF(OR(D215="",D215=0,E215=""),"",E215/D215)</f>
        <v/>
      </c>
      <c r="H215" s="33">
        <f>IF(E215="","",IF(E215&gt;0,"vinto",IF(E215&lt;0,"perso","pari")))</f>
        <v/>
      </c>
      <c r="I215" s="31" t="n"/>
    </row>
    <row r="216">
      <c r="A216" s="30" t="n"/>
      <c r="B216" s="31" t="n"/>
      <c r="C216" s="31" t="n"/>
      <c r="D216" s="11" t="n"/>
      <c r="E216" s="11" t="n"/>
      <c r="F216" s="31" t="n"/>
      <c r="G216" s="32">
        <f>IF(OR(D216="",D216=0,E216=""),"",E216/D216)</f>
        <v/>
      </c>
      <c r="H216" s="33">
        <f>IF(E216="","",IF(E216&gt;0,"vinto",IF(E216&lt;0,"perso","pari")))</f>
        <v/>
      </c>
      <c r="I216" s="31" t="n"/>
    </row>
    <row r="217">
      <c r="A217" s="30" t="n"/>
      <c r="B217" s="31" t="n"/>
      <c r="C217" s="31" t="n"/>
      <c r="D217" s="11" t="n"/>
      <c r="E217" s="11" t="n"/>
      <c r="F217" s="31" t="n"/>
      <c r="G217" s="32">
        <f>IF(OR(D217="",D217=0,E217=""),"",E217/D217)</f>
        <v/>
      </c>
      <c r="H217" s="33">
        <f>IF(E217="","",IF(E217&gt;0,"vinto",IF(E217&lt;0,"perso","pari")))</f>
        <v/>
      </c>
      <c r="I217" s="31" t="n"/>
    </row>
    <row r="218">
      <c r="A218" s="30" t="n"/>
      <c r="B218" s="31" t="n"/>
      <c r="C218" s="31" t="n"/>
      <c r="D218" s="11" t="n"/>
      <c r="E218" s="11" t="n"/>
      <c r="F218" s="31" t="n"/>
      <c r="G218" s="32">
        <f>IF(OR(D218="",D218=0,E218=""),"",E218/D218)</f>
        <v/>
      </c>
      <c r="H218" s="33">
        <f>IF(E218="","",IF(E218&gt;0,"vinto",IF(E218&lt;0,"perso","pari")))</f>
        <v/>
      </c>
      <c r="I218" s="31" t="n"/>
    </row>
    <row r="219">
      <c r="A219" s="30" t="n"/>
      <c r="B219" s="31" t="n"/>
      <c r="C219" s="31" t="n"/>
      <c r="D219" s="11" t="n"/>
      <c r="E219" s="11" t="n"/>
      <c r="F219" s="31" t="n"/>
      <c r="G219" s="32">
        <f>IF(OR(D219="",D219=0,E219=""),"",E219/D219)</f>
        <v/>
      </c>
      <c r="H219" s="33">
        <f>IF(E219="","",IF(E219&gt;0,"vinto",IF(E219&lt;0,"perso","pari")))</f>
        <v/>
      </c>
      <c r="I219" s="31" t="n"/>
    </row>
    <row r="220">
      <c r="A220" s="30" t="n"/>
      <c r="B220" s="31" t="n"/>
      <c r="C220" s="31" t="n"/>
      <c r="D220" s="11" t="n"/>
      <c r="E220" s="11" t="n"/>
      <c r="F220" s="31" t="n"/>
      <c r="G220" s="32">
        <f>IF(OR(D220="",D220=0,E220=""),"",E220/D220)</f>
        <v/>
      </c>
      <c r="H220" s="33">
        <f>IF(E220="","",IF(E220&gt;0,"vinto",IF(E220&lt;0,"perso","pari")))</f>
        <v/>
      </c>
      <c r="I220" s="31" t="n"/>
    </row>
    <row r="221">
      <c r="A221" s="30" t="n"/>
      <c r="B221" s="31" t="n"/>
      <c r="C221" s="31" t="n"/>
      <c r="D221" s="11" t="n"/>
      <c r="E221" s="11" t="n"/>
      <c r="F221" s="31" t="n"/>
      <c r="G221" s="32">
        <f>IF(OR(D221="",D221=0,E221=""),"",E221/D221)</f>
        <v/>
      </c>
      <c r="H221" s="33">
        <f>IF(E221="","",IF(E221&gt;0,"vinto",IF(E221&lt;0,"perso","pari")))</f>
        <v/>
      </c>
      <c r="I221" s="31" t="n"/>
    </row>
    <row r="222">
      <c r="A222" s="30" t="n"/>
      <c r="B222" s="31" t="n"/>
      <c r="C222" s="31" t="n"/>
      <c r="D222" s="11" t="n"/>
      <c r="E222" s="11" t="n"/>
      <c r="F222" s="31" t="n"/>
      <c r="G222" s="32">
        <f>IF(OR(D222="",D222=0,E222=""),"",E222/D222)</f>
        <v/>
      </c>
      <c r="H222" s="33">
        <f>IF(E222="","",IF(E222&gt;0,"vinto",IF(E222&lt;0,"perso","pari")))</f>
        <v/>
      </c>
      <c r="I222" s="31" t="n"/>
    </row>
    <row r="223">
      <c r="A223" s="30" t="n"/>
      <c r="B223" s="31" t="n"/>
      <c r="C223" s="31" t="n"/>
      <c r="D223" s="11" t="n"/>
      <c r="E223" s="11" t="n"/>
      <c r="F223" s="31" t="n"/>
      <c r="G223" s="32">
        <f>IF(OR(D223="",D223=0,E223=""),"",E223/D223)</f>
        <v/>
      </c>
      <c r="H223" s="33">
        <f>IF(E223="","",IF(E223&gt;0,"vinto",IF(E223&lt;0,"perso","pari")))</f>
        <v/>
      </c>
      <c r="I223" s="31" t="n"/>
    </row>
    <row r="224">
      <c r="A224" s="30" t="n"/>
      <c r="B224" s="31" t="n"/>
      <c r="C224" s="31" t="n"/>
      <c r="D224" s="11" t="n"/>
      <c r="E224" s="11" t="n"/>
      <c r="F224" s="31" t="n"/>
      <c r="G224" s="32">
        <f>IF(OR(D224="",D224=0,E224=""),"",E224/D224)</f>
        <v/>
      </c>
      <c r="H224" s="33">
        <f>IF(E224="","",IF(E224&gt;0,"vinto",IF(E224&lt;0,"perso","pari")))</f>
        <v/>
      </c>
      <c r="I224" s="31" t="n"/>
    </row>
    <row r="225">
      <c r="A225" s="30" t="n"/>
      <c r="B225" s="31" t="n"/>
      <c r="C225" s="31" t="n"/>
      <c r="D225" s="11" t="n"/>
      <c r="E225" s="11" t="n"/>
      <c r="F225" s="31" t="n"/>
      <c r="G225" s="32">
        <f>IF(OR(D225="",D225=0,E225=""),"",E225/D225)</f>
        <v/>
      </c>
      <c r="H225" s="33">
        <f>IF(E225="","",IF(E225&gt;0,"vinto",IF(E225&lt;0,"perso","pari")))</f>
        <v/>
      </c>
      <c r="I225" s="31" t="n"/>
    </row>
    <row r="226">
      <c r="A226" s="30" t="n"/>
      <c r="B226" s="31" t="n"/>
      <c r="C226" s="31" t="n"/>
      <c r="D226" s="11" t="n"/>
      <c r="E226" s="11" t="n"/>
      <c r="F226" s="31" t="n"/>
      <c r="G226" s="32">
        <f>IF(OR(D226="",D226=0,E226=""),"",E226/D226)</f>
        <v/>
      </c>
      <c r="H226" s="33">
        <f>IF(E226="","",IF(E226&gt;0,"vinto",IF(E226&lt;0,"perso","pari")))</f>
        <v/>
      </c>
      <c r="I226" s="31" t="n"/>
    </row>
    <row r="227">
      <c r="A227" s="30" t="n"/>
      <c r="B227" s="31" t="n"/>
      <c r="C227" s="31" t="n"/>
      <c r="D227" s="11" t="n"/>
      <c r="E227" s="11" t="n"/>
      <c r="F227" s="31" t="n"/>
      <c r="G227" s="32">
        <f>IF(OR(D227="",D227=0,E227=""),"",E227/D227)</f>
        <v/>
      </c>
      <c r="H227" s="33">
        <f>IF(E227="","",IF(E227&gt;0,"vinto",IF(E227&lt;0,"perso","pari")))</f>
        <v/>
      </c>
      <c r="I227" s="31" t="n"/>
    </row>
    <row r="228">
      <c r="A228" s="30" t="n"/>
      <c r="B228" s="31" t="n"/>
      <c r="C228" s="31" t="n"/>
      <c r="D228" s="11" t="n"/>
      <c r="E228" s="11" t="n"/>
      <c r="F228" s="31" t="n"/>
      <c r="G228" s="32">
        <f>IF(OR(D228="",D228=0,E228=""),"",E228/D228)</f>
        <v/>
      </c>
      <c r="H228" s="33">
        <f>IF(E228="","",IF(E228&gt;0,"vinto",IF(E228&lt;0,"perso","pari")))</f>
        <v/>
      </c>
      <c r="I228" s="31" t="n"/>
    </row>
    <row r="229">
      <c r="A229" s="30" t="n"/>
      <c r="B229" s="31" t="n"/>
      <c r="C229" s="31" t="n"/>
      <c r="D229" s="11" t="n"/>
      <c r="E229" s="11" t="n"/>
      <c r="F229" s="31" t="n"/>
      <c r="G229" s="32">
        <f>IF(OR(D229="",D229=0,E229=""),"",E229/D229)</f>
        <v/>
      </c>
      <c r="H229" s="33">
        <f>IF(E229="","",IF(E229&gt;0,"vinto",IF(E229&lt;0,"perso","pari")))</f>
        <v/>
      </c>
      <c r="I229" s="31" t="n"/>
    </row>
    <row r="230">
      <c r="A230" s="30" t="n"/>
      <c r="B230" s="31" t="n"/>
      <c r="C230" s="31" t="n"/>
      <c r="D230" s="11" t="n"/>
      <c r="E230" s="11" t="n"/>
      <c r="F230" s="31" t="n"/>
      <c r="G230" s="32">
        <f>IF(OR(D230="",D230=0,E230=""),"",E230/D230)</f>
        <v/>
      </c>
      <c r="H230" s="33">
        <f>IF(E230="","",IF(E230&gt;0,"vinto",IF(E230&lt;0,"perso","pari")))</f>
        <v/>
      </c>
      <c r="I230" s="31" t="n"/>
    </row>
    <row r="231">
      <c r="A231" s="30" t="n"/>
      <c r="B231" s="31" t="n"/>
      <c r="C231" s="31" t="n"/>
      <c r="D231" s="11" t="n"/>
      <c r="E231" s="11" t="n"/>
      <c r="F231" s="31" t="n"/>
      <c r="G231" s="32">
        <f>IF(OR(D231="",D231=0,E231=""),"",E231/D231)</f>
        <v/>
      </c>
      <c r="H231" s="33">
        <f>IF(E231="","",IF(E231&gt;0,"vinto",IF(E231&lt;0,"perso","pari")))</f>
        <v/>
      </c>
      <c r="I231" s="31" t="n"/>
    </row>
    <row r="232">
      <c r="A232" s="30" t="n"/>
      <c r="B232" s="31" t="n"/>
      <c r="C232" s="31" t="n"/>
      <c r="D232" s="11" t="n"/>
      <c r="E232" s="11" t="n"/>
      <c r="F232" s="31" t="n"/>
      <c r="G232" s="32">
        <f>IF(OR(D232="",D232=0,E232=""),"",E232/D232)</f>
        <v/>
      </c>
      <c r="H232" s="33">
        <f>IF(E232="","",IF(E232&gt;0,"vinto",IF(E232&lt;0,"perso","pari")))</f>
        <v/>
      </c>
      <c r="I232" s="31" t="n"/>
    </row>
    <row r="233">
      <c r="A233" s="30" t="n"/>
      <c r="B233" s="31" t="n"/>
      <c r="C233" s="31" t="n"/>
      <c r="D233" s="11" t="n"/>
      <c r="E233" s="11" t="n"/>
      <c r="F233" s="31" t="n"/>
      <c r="G233" s="32">
        <f>IF(OR(D233="",D233=0,E233=""),"",E233/D233)</f>
        <v/>
      </c>
      <c r="H233" s="33">
        <f>IF(E233="","",IF(E233&gt;0,"vinto",IF(E233&lt;0,"perso","pari")))</f>
        <v/>
      </c>
      <c r="I233" s="31" t="n"/>
    </row>
    <row r="234">
      <c r="A234" s="30" t="n"/>
      <c r="B234" s="31" t="n"/>
      <c r="C234" s="31" t="n"/>
      <c r="D234" s="11" t="n"/>
      <c r="E234" s="11" t="n"/>
      <c r="F234" s="31" t="n"/>
      <c r="G234" s="32">
        <f>IF(OR(D234="",D234=0,E234=""),"",E234/D234)</f>
        <v/>
      </c>
      <c r="H234" s="33">
        <f>IF(E234="","",IF(E234&gt;0,"vinto",IF(E234&lt;0,"perso","pari")))</f>
        <v/>
      </c>
      <c r="I234" s="31" t="n"/>
    </row>
    <row r="235">
      <c r="A235" s="30" t="n"/>
      <c r="B235" s="31" t="n"/>
      <c r="C235" s="31" t="n"/>
      <c r="D235" s="11" t="n"/>
      <c r="E235" s="11" t="n"/>
      <c r="F235" s="31" t="n"/>
      <c r="G235" s="32">
        <f>IF(OR(D235="",D235=0,E235=""),"",E235/D235)</f>
        <v/>
      </c>
      <c r="H235" s="33">
        <f>IF(E235="","",IF(E235&gt;0,"vinto",IF(E235&lt;0,"perso","pari")))</f>
        <v/>
      </c>
      <c r="I235" s="31" t="n"/>
    </row>
    <row r="236">
      <c r="A236" s="30" t="n"/>
      <c r="B236" s="31" t="n"/>
      <c r="C236" s="31" t="n"/>
      <c r="D236" s="11" t="n"/>
      <c r="E236" s="11" t="n"/>
      <c r="F236" s="31" t="n"/>
      <c r="G236" s="32">
        <f>IF(OR(D236="",D236=0,E236=""),"",E236/D236)</f>
        <v/>
      </c>
      <c r="H236" s="33">
        <f>IF(E236="","",IF(E236&gt;0,"vinto",IF(E236&lt;0,"perso","pari")))</f>
        <v/>
      </c>
      <c r="I236" s="31" t="n"/>
    </row>
    <row r="237">
      <c r="A237" s="30" t="n"/>
      <c r="B237" s="31" t="n"/>
      <c r="C237" s="31" t="n"/>
      <c r="D237" s="11" t="n"/>
      <c r="E237" s="11" t="n"/>
      <c r="F237" s="31" t="n"/>
      <c r="G237" s="32">
        <f>IF(OR(D237="",D237=0,E237=""),"",E237/D237)</f>
        <v/>
      </c>
      <c r="H237" s="33">
        <f>IF(E237="","",IF(E237&gt;0,"vinto",IF(E237&lt;0,"perso","pari")))</f>
        <v/>
      </c>
      <c r="I237" s="31" t="n"/>
    </row>
    <row r="238">
      <c r="A238" s="30" t="n"/>
      <c r="B238" s="31" t="n"/>
      <c r="C238" s="31" t="n"/>
      <c r="D238" s="11" t="n"/>
      <c r="E238" s="11" t="n"/>
      <c r="F238" s="31" t="n"/>
      <c r="G238" s="32">
        <f>IF(OR(D238="",D238=0,E238=""),"",E238/D238)</f>
        <v/>
      </c>
      <c r="H238" s="33">
        <f>IF(E238="","",IF(E238&gt;0,"vinto",IF(E238&lt;0,"perso","pari")))</f>
        <v/>
      </c>
      <c r="I238" s="31" t="n"/>
    </row>
    <row r="239">
      <c r="A239" s="30" t="n"/>
      <c r="B239" s="31" t="n"/>
      <c r="C239" s="31" t="n"/>
      <c r="D239" s="11" t="n"/>
      <c r="E239" s="11" t="n"/>
      <c r="F239" s="31" t="n"/>
      <c r="G239" s="32">
        <f>IF(OR(D239="",D239=0,E239=""),"",E239/D239)</f>
        <v/>
      </c>
      <c r="H239" s="33">
        <f>IF(E239="","",IF(E239&gt;0,"vinto",IF(E239&lt;0,"perso","pari")))</f>
        <v/>
      </c>
      <c r="I239" s="31" t="n"/>
    </row>
    <row r="240">
      <c r="A240" s="30" t="n"/>
      <c r="B240" s="31" t="n"/>
      <c r="C240" s="31" t="n"/>
      <c r="D240" s="11" t="n"/>
      <c r="E240" s="11" t="n"/>
      <c r="F240" s="31" t="n"/>
      <c r="G240" s="32">
        <f>IF(OR(D240="",D240=0,E240=""),"",E240/D240)</f>
        <v/>
      </c>
      <c r="H240" s="33">
        <f>IF(E240="","",IF(E240&gt;0,"vinto",IF(E240&lt;0,"perso","pari")))</f>
        <v/>
      </c>
      <c r="I240" s="31" t="n"/>
    </row>
    <row r="241">
      <c r="A241" s="30" t="n"/>
      <c r="B241" s="31" t="n"/>
      <c r="C241" s="31" t="n"/>
      <c r="D241" s="11" t="n"/>
      <c r="E241" s="11" t="n"/>
      <c r="F241" s="31" t="n"/>
      <c r="G241" s="32">
        <f>IF(OR(D241="",D241=0,E241=""),"",E241/D241)</f>
        <v/>
      </c>
      <c r="H241" s="33">
        <f>IF(E241="","",IF(E241&gt;0,"vinto",IF(E241&lt;0,"perso","pari")))</f>
        <v/>
      </c>
      <c r="I241" s="31" t="n"/>
    </row>
    <row r="242">
      <c r="A242" s="30" t="n"/>
      <c r="B242" s="31" t="n"/>
      <c r="C242" s="31" t="n"/>
      <c r="D242" s="11" t="n"/>
      <c r="E242" s="11" t="n"/>
      <c r="F242" s="31" t="n"/>
      <c r="G242" s="32">
        <f>IF(OR(D242="",D242=0,E242=""),"",E242/D242)</f>
        <v/>
      </c>
      <c r="H242" s="33">
        <f>IF(E242="","",IF(E242&gt;0,"vinto",IF(E242&lt;0,"perso","pari")))</f>
        <v/>
      </c>
      <c r="I242" s="31" t="n"/>
    </row>
    <row r="243">
      <c r="A243" s="30" t="n"/>
      <c r="B243" s="31" t="n"/>
      <c r="C243" s="31" t="n"/>
      <c r="D243" s="11" t="n"/>
      <c r="E243" s="11" t="n"/>
      <c r="F243" s="31" t="n"/>
      <c r="G243" s="32">
        <f>IF(OR(D243="",D243=0,E243=""),"",E243/D243)</f>
        <v/>
      </c>
      <c r="H243" s="33">
        <f>IF(E243="","",IF(E243&gt;0,"vinto",IF(E243&lt;0,"perso","pari")))</f>
        <v/>
      </c>
      <c r="I243" s="31" t="n"/>
    </row>
    <row r="244">
      <c r="A244" s="30" t="n"/>
      <c r="B244" s="31" t="n"/>
      <c r="C244" s="31" t="n"/>
      <c r="D244" s="11" t="n"/>
      <c r="E244" s="11" t="n"/>
      <c r="F244" s="31" t="n"/>
      <c r="G244" s="32">
        <f>IF(OR(D244="",D244=0,E244=""),"",E244/D244)</f>
        <v/>
      </c>
      <c r="H244" s="33">
        <f>IF(E244="","",IF(E244&gt;0,"vinto",IF(E244&lt;0,"perso","pari")))</f>
        <v/>
      </c>
      <c r="I244" s="31" t="n"/>
    </row>
    <row r="245">
      <c r="A245" s="30" t="n"/>
      <c r="B245" s="31" t="n"/>
      <c r="C245" s="31" t="n"/>
      <c r="D245" s="11" t="n"/>
      <c r="E245" s="11" t="n"/>
      <c r="F245" s="31" t="n"/>
      <c r="G245" s="32">
        <f>IF(OR(D245="",D245=0,E245=""),"",E245/D245)</f>
        <v/>
      </c>
      <c r="H245" s="33">
        <f>IF(E245="","",IF(E245&gt;0,"vinto",IF(E245&lt;0,"perso","pari")))</f>
        <v/>
      </c>
      <c r="I245" s="31" t="n"/>
    </row>
    <row r="246">
      <c r="A246" s="30" t="n"/>
      <c r="B246" s="31" t="n"/>
      <c r="C246" s="31" t="n"/>
      <c r="D246" s="11" t="n"/>
      <c r="E246" s="11" t="n"/>
      <c r="F246" s="31" t="n"/>
      <c r="G246" s="32">
        <f>IF(OR(D246="",D246=0,E246=""),"",E246/D246)</f>
        <v/>
      </c>
      <c r="H246" s="33">
        <f>IF(E246="","",IF(E246&gt;0,"vinto",IF(E246&lt;0,"perso","pari")))</f>
        <v/>
      </c>
      <c r="I246" s="31" t="n"/>
    </row>
    <row r="247">
      <c r="A247" s="30" t="n"/>
      <c r="B247" s="31" t="n"/>
      <c r="C247" s="31" t="n"/>
      <c r="D247" s="11" t="n"/>
      <c r="E247" s="11" t="n"/>
      <c r="F247" s="31" t="n"/>
      <c r="G247" s="32">
        <f>IF(OR(D247="",D247=0,E247=""),"",E247/D247)</f>
        <v/>
      </c>
      <c r="H247" s="33">
        <f>IF(E247="","",IF(E247&gt;0,"vinto",IF(E247&lt;0,"perso","pari")))</f>
        <v/>
      </c>
      <c r="I247" s="31" t="n"/>
    </row>
    <row r="248">
      <c r="A248" s="30" t="n"/>
      <c r="B248" s="31" t="n"/>
      <c r="C248" s="31" t="n"/>
      <c r="D248" s="11" t="n"/>
      <c r="E248" s="11" t="n"/>
      <c r="F248" s="31" t="n"/>
      <c r="G248" s="32">
        <f>IF(OR(D248="",D248=0,E248=""),"",E248/D248)</f>
        <v/>
      </c>
      <c r="H248" s="33">
        <f>IF(E248="","",IF(E248&gt;0,"vinto",IF(E248&lt;0,"perso","pari")))</f>
        <v/>
      </c>
      <c r="I248" s="31" t="n"/>
    </row>
    <row r="249">
      <c r="A249" s="30" t="n"/>
      <c r="B249" s="31" t="n"/>
      <c r="C249" s="31" t="n"/>
      <c r="D249" s="11" t="n"/>
      <c r="E249" s="11" t="n"/>
      <c r="F249" s="31" t="n"/>
      <c r="G249" s="32">
        <f>IF(OR(D249="",D249=0,E249=""),"",E249/D249)</f>
        <v/>
      </c>
      <c r="H249" s="33">
        <f>IF(E249="","",IF(E249&gt;0,"vinto",IF(E249&lt;0,"perso","pari")))</f>
        <v/>
      </c>
      <c r="I249" s="31" t="n"/>
    </row>
    <row r="250">
      <c r="A250" s="30" t="n"/>
      <c r="B250" s="31" t="n"/>
      <c r="C250" s="31" t="n"/>
      <c r="D250" s="11" t="n"/>
      <c r="E250" s="11" t="n"/>
      <c r="F250" s="31" t="n"/>
      <c r="G250" s="32">
        <f>IF(OR(D250="",D250=0,E250=""),"",E250/D250)</f>
        <v/>
      </c>
      <c r="H250" s="33">
        <f>IF(E250="","",IF(E250&gt;0,"vinto",IF(E250&lt;0,"perso","pari")))</f>
        <v/>
      </c>
      <c r="I250" s="31" t="n"/>
    </row>
    <row r="251">
      <c r="A251" s="30" t="n"/>
      <c r="B251" s="31" t="n"/>
      <c r="C251" s="31" t="n"/>
      <c r="D251" s="11" t="n"/>
      <c r="E251" s="11" t="n"/>
      <c r="F251" s="31" t="n"/>
      <c r="G251" s="32">
        <f>IF(OR(D251="",D251=0,E251=""),"",E251/D251)</f>
        <v/>
      </c>
      <c r="H251" s="33">
        <f>IF(E251="","",IF(E251&gt;0,"vinto",IF(E251&lt;0,"perso","pari")))</f>
        <v/>
      </c>
      <c r="I251" s="31" t="n"/>
    </row>
    <row r="252">
      <c r="A252" s="30" t="n"/>
      <c r="B252" s="31" t="n"/>
      <c r="C252" s="31" t="n"/>
      <c r="D252" s="11" t="n"/>
      <c r="E252" s="11" t="n"/>
      <c r="F252" s="31" t="n"/>
      <c r="G252" s="32">
        <f>IF(OR(D252="",D252=0,E252=""),"",E252/D252)</f>
        <v/>
      </c>
      <c r="H252" s="33">
        <f>IF(E252="","",IF(E252&gt;0,"vinto",IF(E252&lt;0,"perso","pari")))</f>
        <v/>
      </c>
      <c r="I252" s="31" t="n"/>
    </row>
    <row r="253">
      <c r="A253" s="30" t="n"/>
      <c r="B253" s="31" t="n"/>
      <c r="C253" s="31" t="n"/>
      <c r="D253" s="11" t="n"/>
      <c r="E253" s="11" t="n"/>
      <c r="F253" s="31" t="n"/>
      <c r="G253" s="32">
        <f>IF(OR(D253="",D253=0,E253=""),"",E253/D253)</f>
        <v/>
      </c>
      <c r="H253" s="33">
        <f>IF(E253="","",IF(E253&gt;0,"vinto",IF(E253&lt;0,"perso","pari")))</f>
        <v/>
      </c>
      <c r="I253" s="31" t="n"/>
    </row>
    <row r="254">
      <c r="A254" s="30" t="n"/>
      <c r="B254" s="31" t="n"/>
      <c r="C254" s="31" t="n"/>
      <c r="D254" s="11" t="n"/>
      <c r="E254" s="11" t="n"/>
      <c r="F254" s="31" t="n"/>
      <c r="G254" s="32">
        <f>IF(OR(D254="",D254=0,E254=""),"",E254/D254)</f>
        <v/>
      </c>
      <c r="H254" s="33">
        <f>IF(E254="","",IF(E254&gt;0,"vinto",IF(E254&lt;0,"perso","pari")))</f>
        <v/>
      </c>
      <c r="I254" s="31" t="n"/>
    </row>
    <row r="255">
      <c r="A255" s="30" t="n"/>
      <c r="B255" s="31" t="n"/>
      <c r="C255" s="31" t="n"/>
      <c r="D255" s="11" t="n"/>
      <c r="E255" s="11" t="n"/>
      <c r="F255" s="31" t="n"/>
      <c r="G255" s="32">
        <f>IF(OR(D255="",D255=0,E255=""),"",E255/D255)</f>
        <v/>
      </c>
      <c r="H255" s="33">
        <f>IF(E255="","",IF(E255&gt;0,"vinto",IF(E255&lt;0,"perso","pari")))</f>
        <v/>
      </c>
      <c r="I255" s="31" t="n"/>
    </row>
    <row r="256">
      <c r="A256" s="30" t="n"/>
      <c r="B256" s="31" t="n"/>
      <c r="C256" s="31" t="n"/>
      <c r="D256" s="11" t="n"/>
      <c r="E256" s="11" t="n"/>
      <c r="F256" s="31" t="n"/>
      <c r="G256" s="32">
        <f>IF(OR(D256="",D256=0,E256=""),"",E256/D256)</f>
        <v/>
      </c>
      <c r="H256" s="33">
        <f>IF(E256="","",IF(E256&gt;0,"vinto",IF(E256&lt;0,"perso","pari")))</f>
        <v/>
      </c>
      <c r="I256" s="31" t="n"/>
    </row>
    <row r="257">
      <c r="A257" s="30" t="n"/>
      <c r="B257" s="31" t="n"/>
      <c r="C257" s="31" t="n"/>
      <c r="D257" s="11" t="n"/>
      <c r="E257" s="11" t="n"/>
      <c r="F257" s="31" t="n"/>
      <c r="G257" s="32">
        <f>IF(OR(D257="",D257=0,E257=""),"",E257/D257)</f>
        <v/>
      </c>
      <c r="H257" s="33">
        <f>IF(E257="","",IF(E257&gt;0,"vinto",IF(E257&lt;0,"perso","pari")))</f>
        <v/>
      </c>
      <c r="I257" s="31" t="n"/>
    </row>
    <row r="258">
      <c r="A258" s="30" t="n"/>
      <c r="B258" s="31" t="n"/>
      <c r="C258" s="31" t="n"/>
      <c r="D258" s="11" t="n"/>
      <c r="E258" s="11" t="n"/>
      <c r="F258" s="31" t="n"/>
      <c r="G258" s="32">
        <f>IF(OR(D258="",D258=0,E258=""),"",E258/D258)</f>
        <v/>
      </c>
      <c r="H258" s="33">
        <f>IF(E258="","",IF(E258&gt;0,"vinto",IF(E258&lt;0,"perso","pari")))</f>
        <v/>
      </c>
      <c r="I258" s="31" t="n"/>
    </row>
    <row r="259">
      <c r="A259" s="30" t="n"/>
      <c r="B259" s="31" t="n"/>
      <c r="C259" s="31" t="n"/>
      <c r="D259" s="11" t="n"/>
      <c r="E259" s="11" t="n"/>
      <c r="F259" s="31" t="n"/>
      <c r="G259" s="32">
        <f>IF(OR(D259="",D259=0,E259=""),"",E259/D259)</f>
        <v/>
      </c>
      <c r="H259" s="33">
        <f>IF(E259="","",IF(E259&gt;0,"vinto",IF(E259&lt;0,"perso","pari")))</f>
        <v/>
      </c>
      <c r="I259" s="31" t="n"/>
    </row>
    <row r="260">
      <c r="A260" s="30" t="n"/>
      <c r="B260" s="31" t="n"/>
      <c r="C260" s="31" t="n"/>
      <c r="D260" s="11" t="n"/>
      <c r="E260" s="11" t="n"/>
      <c r="F260" s="31" t="n"/>
      <c r="G260" s="32">
        <f>IF(OR(D260="",D260=0,E260=""),"",E260/D260)</f>
        <v/>
      </c>
      <c r="H260" s="33">
        <f>IF(E260="","",IF(E260&gt;0,"vinto",IF(E260&lt;0,"perso","pari")))</f>
        <v/>
      </c>
      <c r="I260" s="31" t="n"/>
    </row>
    <row r="261">
      <c r="A261" s="30" t="n"/>
      <c r="B261" s="31" t="n"/>
      <c r="C261" s="31" t="n"/>
      <c r="D261" s="11" t="n"/>
      <c r="E261" s="11" t="n"/>
      <c r="F261" s="31" t="n"/>
      <c r="G261" s="32">
        <f>IF(OR(D261="",D261=0,E261=""),"",E261/D261)</f>
        <v/>
      </c>
      <c r="H261" s="33">
        <f>IF(E261="","",IF(E261&gt;0,"vinto",IF(E261&lt;0,"perso","pari")))</f>
        <v/>
      </c>
      <c r="I261" s="31" t="n"/>
    </row>
    <row r="262">
      <c r="A262" s="30" t="n"/>
      <c r="B262" s="31" t="n"/>
      <c r="C262" s="31" t="n"/>
      <c r="D262" s="11" t="n"/>
      <c r="E262" s="11" t="n"/>
      <c r="F262" s="31" t="n"/>
      <c r="G262" s="32">
        <f>IF(OR(D262="",D262=0,E262=""),"",E262/D262)</f>
        <v/>
      </c>
      <c r="H262" s="33">
        <f>IF(E262="","",IF(E262&gt;0,"vinto",IF(E262&lt;0,"perso","pari")))</f>
        <v/>
      </c>
      <c r="I262" s="31" t="n"/>
    </row>
    <row r="263">
      <c r="A263" s="30" t="n"/>
      <c r="B263" s="31" t="n"/>
      <c r="C263" s="31" t="n"/>
      <c r="D263" s="11" t="n"/>
      <c r="E263" s="11" t="n"/>
      <c r="F263" s="31" t="n"/>
      <c r="G263" s="32">
        <f>IF(OR(D263="",D263=0,E263=""),"",E263/D263)</f>
        <v/>
      </c>
      <c r="H263" s="33">
        <f>IF(E263="","",IF(E263&gt;0,"vinto",IF(E263&lt;0,"perso","pari")))</f>
        <v/>
      </c>
      <c r="I263" s="31" t="n"/>
    </row>
    <row r="264">
      <c r="A264" s="30" t="n"/>
      <c r="B264" s="31" t="n"/>
      <c r="C264" s="31" t="n"/>
      <c r="D264" s="11" t="n"/>
      <c r="E264" s="11" t="n"/>
      <c r="F264" s="31" t="n"/>
      <c r="G264" s="32">
        <f>IF(OR(D264="",D264=0,E264=""),"",E264/D264)</f>
        <v/>
      </c>
      <c r="H264" s="33">
        <f>IF(E264="","",IF(E264&gt;0,"vinto",IF(E264&lt;0,"perso","pari")))</f>
        <v/>
      </c>
      <c r="I264" s="31" t="n"/>
    </row>
    <row r="265">
      <c r="A265" s="30" t="n"/>
      <c r="B265" s="31" t="n"/>
      <c r="C265" s="31" t="n"/>
      <c r="D265" s="11" t="n"/>
      <c r="E265" s="11" t="n"/>
      <c r="F265" s="31" t="n"/>
      <c r="G265" s="32">
        <f>IF(OR(D265="",D265=0,E265=""),"",E265/D265)</f>
        <v/>
      </c>
      <c r="H265" s="33">
        <f>IF(E265="","",IF(E265&gt;0,"vinto",IF(E265&lt;0,"perso","pari")))</f>
        <v/>
      </c>
      <c r="I265" s="31" t="n"/>
    </row>
    <row r="266">
      <c r="A266" s="30" t="n"/>
      <c r="B266" s="31" t="n"/>
      <c r="C266" s="31" t="n"/>
      <c r="D266" s="11" t="n"/>
      <c r="E266" s="11" t="n"/>
      <c r="F266" s="31" t="n"/>
      <c r="G266" s="32">
        <f>IF(OR(D266="",D266=0,E266=""),"",E266/D266)</f>
        <v/>
      </c>
      <c r="H266" s="33">
        <f>IF(E266="","",IF(E266&gt;0,"vinto",IF(E266&lt;0,"perso","pari")))</f>
        <v/>
      </c>
      <c r="I266" s="31" t="n"/>
    </row>
    <row r="267">
      <c r="A267" s="30" t="n"/>
      <c r="B267" s="31" t="n"/>
      <c r="C267" s="31" t="n"/>
      <c r="D267" s="11" t="n"/>
      <c r="E267" s="11" t="n"/>
      <c r="F267" s="31" t="n"/>
      <c r="G267" s="32">
        <f>IF(OR(D267="",D267=0,E267=""),"",E267/D267)</f>
        <v/>
      </c>
      <c r="H267" s="33">
        <f>IF(E267="","",IF(E267&gt;0,"vinto",IF(E267&lt;0,"perso","pari")))</f>
        <v/>
      </c>
      <c r="I267" s="31" t="n"/>
    </row>
    <row r="268">
      <c r="A268" s="30" t="n"/>
      <c r="B268" s="31" t="n"/>
      <c r="C268" s="31" t="n"/>
      <c r="D268" s="11" t="n"/>
      <c r="E268" s="11" t="n"/>
      <c r="F268" s="31" t="n"/>
      <c r="G268" s="32">
        <f>IF(OR(D268="",D268=0,E268=""),"",E268/D268)</f>
        <v/>
      </c>
      <c r="H268" s="33">
        <f>IF(E268="","",IF(E268&gt;0,"vinto",IF(E268&lt;0,"perso","pari")))</f>
        <v/>
      </c>
      <c r="I268" s="31" t="n"/>
    </row>
    <row r="269">
      <c r="A269" s="30" t="n"/>
      <c r="B269" s="31" t="n"/>
      <c r="C269" s="31" t="n"/>
      <c r="D269" s="11" t="n"/>
      <c r="E269" s="11" t="n"/>
      <c r="F269" s="31" t="n"/>
      <c r="G269" s="32">
        <f>IF(OR(D269="",D269=0,E269=""),"",E269/D269)</f>
        <v/>
      </c>
      <c r="H269" s="33">
        <f>IF(E269="","",IF(E269&gt;0,"vinto",IF(E269&lt;0,"perso","pari")))</f>
        <v/>
      </c>
      <c r="I269" s="31" t="n"/>
    </row>
    <row r="270">
      <c r="A270" s="30" t="n"/>
      <c r="B270" s="31" t="n"/>
      <c r="C270" s="31" t="n"/>
      <c r="D270" s="11" t="n"/>
      <c r="E270" s="11" t="n"/>
      <c r="F270" s="31" t="n"/>
      <c r="G270" s="32">
        <f>IF(OR(D270="",D270=0,E270=""),"",E270/D270)</f>
        <v/>
      </c>
      <c r="H270" s="33">
        <f>IF(E270="","",IF(E270&gt;0,"vinto",IF(E270&lt;0,"perso","pari")))</f>
        <v/>
      </c>
      <c r="I270" s="31" t="n"/>
    </row>
    <row r="271">
      <c r="A271" s="30" t="n"/>
      <c r="B271" s="31" t="n"/>
      <c r="C271" s="31" t="n"/>
      <c r="D271" s="11" t="n"/>
      <c r="E271" s="11" t="n"/>
      <c r="F271" s="31" t="n"/>
      <c r="G271" s="32">
        <f>IF(OR(D271="",D271=0,E271=""),"",E271/D271)</f>
        <v/>
      </c>
      <c r="H271" s="33">
        <f>IF(E271="","",IF(E271&gt;0,"vinto",IF(E271&lt;0,"perso","pari")))</f>
        <v/>
      </c>
      <c r="I271" s="31" t="n"/>
    </row>
    <row r="272">
      <c r="A272" s="30" t="n"/>
      <c r="B272" s="31" t="n"/>
      <c r="C272" s="31" t="n"/>
      <c r="D272" s="11" t="n"/>
      <c r="E272" s="11" t="n"/>
      <c r="F272" s="31" t="n"/>
      <c r="G272" s="32">
        <f>IF(OR(D272="",D272=0,E272=""),"",E272/D272)</f>
        <v/>
      </c>
      <c r="H272" s="33">
        <f>IF(E272="","",IF(E272&gt;0,"vinto",IF(E272&lt;0,"perso","pari")))</f>
        <v/>
      </c>
      <c r="I272" s="31" t="n"/>
    </row>
    <row r="273">
      <c r="A273" s="30" t="n"/>
      <c r="B273" s="31" t="n"/>
      <c r="C273" s="31" t="n"/>
      <c r="D273" s="11" t="n"/>
      <c r="E273" s="11" t="n"/>
      <c r="F273" s="31" t="n"/>
      <c r="G273" s="32">
        <f>IF(OR(D273="",D273=0,E273=""),"",E273/D273)</f>
        <v/>
      </c>
      <c r="H273" s="33">
        <f>IF(E273="","",IF(E273&gt;0,"vinto",IF(E273&lt;0,"perso","pari")))</f>
        <v/>
      </c>
      <c r="I273" s="31" t="n"/>
    </row>
    <row r="274">
      <c r="A274" s="30" t="n"/>
      <c r="B274" s="31" t="n"/>
      <c r="C274" s="31" t="n"/>
      <c r="D274" s="11" t="n"/>
      <c r="E274" s="11" t="n"/>
      <c r="F274" s="31" t="n"/>
      <c r="G274" s="32">
        <f>IF(OR(D274="",D274=0,E274=""),"",E274/D274)</f>
        <v/>
      </c>
      <c r="H274" s="33">
        <f>IF(E274="","",IF(E274&gt;0,"vinto",IF(E274&lt;0,"perso","pari")))</f>
        <v/>
      </c>
      <c r="I274" s="31" t="n"/>
    </row>
    <row r="275">
      <c r="A275" s="30" t="n"/>
      <c r="B275" s="31" t="n"/>
      <c r="C275" s="31" t="n"/>
      <c r="D275" s="11" t="n"/>
      <c r="E275" s="11" t="n"/>
      <c r="F275" s="31" t="n"/>
      <c r="G275" s="32">
        <f>IF(OR(D275="",D275=0,E275=""),"",E275/D275)</f>
        <v/>
      </c>
      <c r="H275" s="33">
        <f>IF(E275="","",IF(E275&gt;0,"vinto",IF(E275&lt;0,"perso","pari")))</f>
        <v/>
      </c>
      <c r="I275" s="31" t="n"/>
    </row>
    <row r="276">
      <c r="A276" s="30" t="n"/>
      <c r="B276" s="31" t="n"/>
      <c r="C276" s="31" t="n"/>
      <c r="D276" s="11" t="n"/>
      <c r="E276" s="11" t="n"/>
      <c r="F276" s="31" t="n"/>
      <c r="G276" s="32">
        <f>IF(OR(D276="",D276=0,E276=""),"",E276/D276)</f>
        <v/>
      </c>
      <c r="H276" s="33">
        <f>IF(E276="","",IF(E276&gt;0,"vinto",IF(E276&lt;0,"perso","pari")))</f>
        <v/>
      </c>
      <c r="I276" s="31" t="n"/>
    </row>
    <row r="277">
      <c r="A277" s="30" t="n"/>
      <c r="B277" s="31" t="n"/>
      <c r="C277" s="31" t="n"/>
      <c r="D277" s="11" t="n"/>
      <c r="E277" s="11" t="n"/>
      <c r="F277" s="31" t="n"/>
      <c r="G277" s="32">
        <f>IF(OR(D277="",D277=0,E277=""),"",E277/D277)</f>
        <v/>
      </c>
      <c r="H277" s="33">
        <f>IF(E277="","",IF(E277&gt;0,"vinto",IF(E277&lt;0,"perso","pari")))</f>
        <v/>
      </c>
      <c r="I277" s="31" t="n"/>
    </row>
    <row r="278">
      <c r="A278" s="30" t="n"/>
      <c r="B278" s="31" t="n"/>
      <c r="C278" s="31" t="n"/>
      <c r="D278" s="11" t="n"/>
      <c r="E278" s="11" t="n"/>
      <c r="F278" s="31" t="n"/>
      <c r="G278" s="32">
        <f>IF(OR(D278="",D278=0,E278=""),"",E278/D278)</f>
        <v/>
      </c>
      <c r="H278" s="33">
        <f>IF(E278="","",IF(E278&gt;0,"vinto",IF(E278&lt;0,"perso","pari")))</f>
        <v/>
      </c>
      <c r="I278" s="31" t="n"/>
    </row>
    <row r="279">
      <c r="A279" s="30" t="n"/>
      <c r="B279" s="31" t="n"/>
      <c r="C279" s="31" t="n"/>
      <c r="D279" s="11" t="n"/>
      <c r="E279" s="11" t="n"/>
      <c r="F279" s="31" t="n"/>
      <c r="G279" s="32">
        <f>IF(OR(D279="",D279=0,E279=""),"",E279/D279)</f>
        <v/>
      </c>
      <c r="H279" s="33">
        <f>IF(E279="","",IF(E279&gt;0,"vinto",IF(E279&lt;0,"perso","pari")))</f>
        <v/>
      </c>
      <c r="I279" s="31" t="n"/>
    </row>
    <row r="280">
      <c r="A280" s="30" t="n"/>
      <c r="B280" s="31" t="n"/>
      <c r="C280" s="31" t="n"/>
      <c r="D280" s="11" t="n"/>
      <c r="E280" s="11" t="n"/>
      <c r="F280" s="31" t="n"/>
      <c r="G280" s="32">
        <f>IF(OR(D280="",D280=0,E280=""),"",E280/D280)</f>
        <v/>
      </c>
      <c r="H280" s="33">
        <f>IF(E280="","",IF(E280&gt;0,"vinto",IF(E280&lt;0,"perso","pari")))</f>
        <v/>
      </c>
      <c r="I280" s="31" t="n"/>
    </row>
    <row r="281">
      <c r="A281" s="30" t="n"/>
      <c r="B281" s="31" t="n"/>
      <c r="C281" s="31" t="n"/>
      <c r="D281" s="11" t="n"/>
      <c r="E281" s="11" t="n"/>
      <c r="F281" s="31" t="n"/>
      <c r="G281" s="32">
        <f>IF(OR(D281="",D281=0,E281=""),"",E281/D281)</f>
        <v/>
      </c>
      <c r="H281" s="33">
        <f>IF(E281="","",IF(E281&gt;0,"vinto",IF(E281&lt;0,"perso","pari")))</f>
        <v/>
      </c>
      <c r="I281" s="31" t="n"/>
    </row>
    <row r="282">
      <c r="A282" s="30" t="n"/>
      <c r="B282" s="31" t="n"/>
      <c r="C282" s="31" t="n"/>
      <c r="D282" s="11" t="n"/>
      <c r="E282" s="11" t="n"/>
      <c r="F282" s="31" t="n"/>
      <c r="G282" s="32">
        <f>IF(OR(D282="",D282=0,E282=""),"",E282/D282)</f>
        <v/>
      </c>
      <c r="H282" s="33">
        <f>IF(E282="","",IF(E282&gt;0,"vinto",IF(E282&lt;0,"perso","pari")))</f>
        <v/>
      </c>
      <c r="I282" s="31" t="n"/>
    </row>
    <row r="283">
      <c r="A283" s="30" t="n"/>
      <c r="B283" s="31" t="n"/>
      <c r="C283" s="31" t="n"/>
      <c r="D283" s="11" t="n"/>
      <c r="E283" s="11" t="n"/>
      <c r="F283" s="31" t="n"/>
      <c r="G283" s="32">
        <f>IF(OR(D283="",D283=0,E283=""),"",E283/D283)</f>
        <v/>
      </c>
      <c r="H283" s="33">
        <f>IF(E283="","",IF(E283&gt;0,"vinto",IF(E283&lt;0,"perso","pari")))</f>
        <v/>
      </c>
      <c r="I283" s="31" t="n"/>
    </row>
    <row r="284">
      <c r="A284" s="30" t="n"/>
      <c r="B284" s="31" t="n"/>
      <c r="C284" s="31" t="n"/>
      <c r="D284" s="11" t="n"/>
      <c r="E284" s="11" t="n"/>
      <c r="F284" s="31" t="n"/>
      <c r="G284" s="32">
        <f>IF(OR(D284="",D284=0,E284=""),"",E284/D284)</f>
        <v/>
      </c>
      <c r="H284" s="33">
        <f>IF(E284="","",IF(E284&gt;0,"vinto",IF(E284&lt;0,"perso","pari")))</f>
        <v/>
      </c>
      <c r="I284" s="31" t="n"/>
    </row>
    <row r="285">
      <c r="A285" s="30" t="n"/>
      <c r="B285" s="31" t="n"/>
      <c r="C285" s="31" t="n"/>
      <c r="D285" s="11" t="n"/>
      <c r="E285" s="11" t="n"/>
      <c r="F285" s="31" t="n"/>
      <c r="G285" s="32">
        <f>IF(OR(D285="",D285=0,E285=""),"",E285/D285)</f>
        <v/>
      </c>
      <c r="H285" s="33">
        <f>IF(E285="","",IF(E285&gt;0,"vinto",IF(E285&lt;0,"perso","pari")))</f>
        <v/>
      </c>
      <c r="I285" s="31" t="n"/>
    </row>
    <row r="286">
      <c r="A286" s="30" t="n"/>
      <c r="B286" s="31" t="n"/>
      <c r="C286" s="31" t="n"/>
      <c r="D286" s="11" t="n"/>
      <c r="E286" s="11" t="n"/>
      <c r="F286" s="31" t="n"/>
      <c r="G286" s="32">
        <f>IF(OR(D286="",D286=0,E286=""),"",E286/D286)</f>
        <v/>
      </c>
      <c r="H286" s="33">
        <f>IF(E286="","",IF(E286&gt;0,"vinto",IF(E286&lt;0,"perso","pari")))</f>
        <v/>
      </c>
      <c r="I286" s="31" t="n"/>
    </row>
    <row r="287">
      <c r="A287" s="30" t="n"/>
      <c r="B287" s="31" t="n"/>
      <c r="C287" s="31" t="n"/>
      <c r="D287" s="11" t="n"/>
      <c r="E287" s="11" t="n"/>
      <c r="F287" s="31" t="n"/>
      <c r="G287" s="32">
        <f>IF(OR(D287="",D287=0,E287=""),"",E287/D287)</f>
        <v/>
      </c>
      <c r="H287" s="33">
        <f>IF(E287="","",IF(E287&gt;0,"vinto",IF(E287&lt;0,"perso","pari")))</f>
        <v/>
      </c>
      <c r="I287" s="31" t="n"/>
    </row>
    <row r="288">
      <c r="A288" s="30" t="n"/>
      <c r="B288" s="31" t="n"/>
      <c r="C288" s="31" t="n"/>
      <c r="D288" s="11" t="n"/>
      <c r="E288" s="11" t="n"/>
      <c r="F288" s="31" t="n"/>
      <c r="G288" s="32">
        <f>IF(OR(D288="",D288=0,E288=""),"",E288/D288)</f>
        <v/>
      </c>
      <c r="H288" s="33">
        <f>IF(E288="","",IF(E288&gt;0,"vinto",IF(E288&lt;0,"perso","pari")))</f>
        <v/>
      </c>
      <c r="I288" s="31" t="n"/>
    </row>
    <row r="289">
      <c r="A289" s="30" t="n"/>
      <c r="B289" s="31" t="n"/>
      <c r="C289" s="31" t="n"/>
      <c r="D289" s="11" t="n"/>
      <c r="E289" s="11" t="n"/>
      <c r="F289" s="31" t="n"/>
      <c r="G289" s="32">
        <f>IF(OR(D289="",D289=0,E289=""),"",E289/D289)</f>
        <v/>
      </c>
      <c r="H289" s="33">
        <f>IF(E289="","",IF(E289&gt;0,"vinto",IF(E289&lt;0,"perso","pari")))</f>
        <v/>
      </c>
      <c r="I289" s="31" t="n"/>
    </row>
    <row r="290">
      <c r="A290" s="30" t="n"/>
      <c r="B290" s="31" t="n"/>
      <c r="C290" s="31" t="n"/>
      <c r="D290" s="11" t="n"/>
      <c r="E290" s="11" t="n"/>
      <c r="F290" s="31" t="n"/>
      <c r="G290" s="32">
        <f>IF(OR(D290="",D290=0,E290=""),"",E290/D290)</f>
        <v/>
      </c>
      <c r="H290" s="33">
        <f>IF(E290="","",IF(E290&gt;0,"vinto",IF(E290&lt;0,"perso","pari")))</f>
        <v/>
      </c>
      <c r="I290" s="31" t="n"/>
    </row>
    <row r="291">
      <c r="A291" s="30" t="n"/>
      <c r="B291" s="31" t="n"/>
      <c r="C291" s="31" t="n"/>
      <c r="D291" s="11" t="n"/>
      <c r="E291" s="11" t="n"/>
      <c r="F291" s="31" t="n"/>
      <c r="G291" s="32">
        <f>IF(OR(D291="",D291=0,E291=""),"",E291/D291)</f>
        <v/>
      </c>
      <c r="H291" s="33">
        <f>IF(E291="","",IF(E291&gt;0,"vinto",IF(E291&lt;0,"perso","pari")))</f>
        <v/>
      </c>
      <c r="I291" s="31" t="n"/>
    </row>
    <row r="292">
      <c r="A292" s="30" t="n"/>
      <c r="B292" s="31" t="n"/>
      <c r="C292" s="31" t="n"/>
      <c r="D292" s="11" t="n"/>
      <c r="E292" s="11" t="n"/>
      <c r="F292" s="31" t="n"/>
      <c r="G292" s="32">
        <f>IF(OR(D292="",D292=0,E292=""),"",E292/D292)</f>
        <v/>
      </c>
      <c r="H292" s="33">
        <f>IF(E292="","",IF(E292&gt;0,"vinto",IF(E292&lt;0,"perso","pari")))</f>
        <v/>
      </c>
      <c r="I292" s="31" t="n"/>
    </row>
    <row r="293">
      <c r="A293" s="30" t="n"/>
      <c r="B293" s="31" t="n"/>
      <c r="C293" s="31" t="n"/>
      <c r="D293" s="11" t="n"/>
      <c r="E293" s="11" t="n"/>
      <c r="F293" s="31" t="n"/>
      <c r="G293" s="32">
        <f>IF(OR(D293="",D293=0,E293=""),"",E293/D293)</f>
        <v/>
      </c>
      <c r="H293" s="33">
        <f>IF(E293="","",IF(E293&gt;0,"vinto",IF(E293&lt;0,"perso","pari")))</f>
        <v/>
      </c>
      <c r="I293" s="31" t="n"/>
    </row>
    <row r="294">
      <c r="A294" s="30" t="n"/>
      <c r="B294" s="31" t="n"/>
      <c r="C294" s="31" t="n"/>
      <c r="D294" s="11" t="n"/>
      <c r="E294" s="11" t="n"/>
      <c r="F294" s="31" t="n"/>
      <c r="G294" s="32">
        <f>IF(OR(D294="",D294=0,E294=""),"",E294/D294)</f>
        <v/>
      </c>
      <c r="H294" s="33">
        <f>IF(E294="","",IF(E294&gt;0,"vinto",IF(E294&lt;0,"perso","pari")))</f>
        <v/>
      </c>
      <c r="I294" s="31" t="n"/>
    </row>
    <row r="295">
      <c r="A295" s="30" t="n"/>
      <c r="B295" s="31" t="n"/>
      <c r="C295" s="31" t="n"/>
      <c r="D295" s="11" t="n"/>
      <c r="E295" s="11" t="n"/>
      <c r="F295" s="31" t="n"/>
      <c r="G295" s="32">
        <f>IF(OR(D295="",D295=0,E295=""),"",E295/D295)</f>
        <v/>
      </c>
      <c r="H295" s="33">
        <f>IF(E295="","",IF(E295&gt;0,"vinto",IF(E295&lt;0,"perso","pari")))</f>
        <v/>
      </c>
      <c r="I295" s="31" t="n"/>
    </row>
    <row r="296">
      <c r="A296" s="30" t="n"/>
      <c r="B296" s="31" t="n"/>
      <c r="C296" s="31" t="n"/>
      <c r="D296" s="11" t="n"/>
      <c r="E296" s="11" t="n"/>
      <c r="F296" s="31" t="n"/>
      <c r="G296" s="32">
        <f>IF(OR(D296="",D296=0,E296=""),"",E296/D296)</f>
        <v/>
      </c>
      <c r="H296" s="33">
        <f>IF(E296="","",IF(E296&gt;0,"vinto",IF(E296&lt;0,"perso","pari")))</f>
        <v/>
      </c>
      <c r="I296" s="31" t="n"/>
    </row>
    <row r="297">
      <c r="A297" s="30" t="n"/>
      <c r="B297" s="31" t="n"/>
      <c r="C297" s="31" t="n"/>
      <c r="D297" s="11" t="n"/>
      <c r="E297" s="11" t="n"/>
      <c r="F297" s="31" t="n"/>
      <c r="G297" s="32">
        <f>IF(OR(D297="",D297=0,E297=""),"",E297/D297)</f>
        <v/>
      </c>
      <c r="H297" s="33">
        <f>IF(E297="","",IF(E297&gt;0,"vinto",IF(E297&lt;0,"perso","pari")))</f>
        <v/>
      </c>
      <c r="I297" s="31" t="n"/>
    </row>
    <row r="298">
      <c r="A298" s="30" t="n"/>
      <c r="B298" s="31" t="n"/>
      <c r="C298" s="31" t="n"/>
      <c r="D298" s="11" t="n"/>
      <c r="E298" s="11" t="n"/>
      <c r="F298" s="31" t="n"/>
      <c r="G298" s="32">
        <f>IF(OR(D298="",D298=0,E298=""),"",E298/D298)</f>
        <v/>
      </c>
      <c r="H298" s="33">
        <f>IF(E298="","",IF(E298&gt;0,"vinto",IF(E298&lt;0,"perso","pari")))</f>
        <v/>
      </c>
      <c r="I298" s="31" t="n"/>
    </row>
    <row r="299">
      <c r="A299" s="30" t="n"/>
      <c r="B299" s="31" t="n"/>
      <c r="C299" s="31" t="n"/>
      <c r="D299" s="11" t="n"/>
      <c r="E299" s="11" t="n"/>
      <c r="F299" s="31" t="n"/>
      <c r="G299" s="32">
        <f>IF(OR(D299="",D299=0,E299=""),"",E299/D299)</f>
        <v/>
      </c>
      <c r="H299" s="33">
        <f>IF(E299="","",IF(E299&gt;0,"vinto",IF(E299&lt;0,"perso","pari")))</f>
        <v/>
      </c>
      <c r="I299" s="31" t="n"/>
    </row>
    <row r="300">
      <c r="A300" s="30" t="n"/>
      <c r="B300" s="31" t="n"/>
      <c r="C300" s="31" t="n"/>
      <c r="D300" s="11" t="n"/>
      <c r="E300" s="11" t="n"/>
      <c r="F300" s="31" t="n"/>
      <c r="G300" s="32">
        <f>IF(OR(D300="",D300=0,E300=""),"",E300/D300)</f>
        <v/>
      </c>
      <c r="H300" s="33">
        <f>IF(E300="","",IF(E300&gt;0,"vinto",IF(E300&lt;0,"perso","pari")))</f>
        <v/>
      </c>
      <c r="I300" s="31" t="n"/>
    </row>
    <row r="301">
      <c r="A301" s="30" t="n"/>
      <c r="B301" s="31" t="n"/>
      <c r="C301" s="31" t="n"/>
      <c r="D301" s="11" t="n"/>
      <c r="E301" s="11" t="n"/>
      <c r="F301" s="31" t="n"/>
      <c r="G301" s="32">
        <f>IF(OR(D301="",D301=0,E301=""),"",E301/D301)</f>
        <v/>
      </c>
      <c r="H301" s="33">
        <f>IF(E301="","",IF(E301&gt;0,"vinto",IF(E301&lt;0,"perso","pari")))</f>
        <v/>
      </c>
      <c r="I301" s="31" t="n"/>
    </row>
    <row r="302">
      <c r="A302" s="30" t="n"/>
      <c r="B302" s="31" t="n"/>
      <c r="C302" s="31" t="n"/>
      <c r="D302" s="11" t="n"/>
      <c r="E302" s="11" t="n"/>
      <c r="F302" s="31" t="n"/>
      <c r="G302" s="32">
        <f>IF(OR(D302="",D302=0,E302=""),"",E302/D302)</f>
        <v/>
      </c>
      <c r="H302" s="33">
        <f>IF(E302="","",IF(E302&gt;0,"vinto",IF(E302&lt;0,"perso","pari")))</f>
        <v/>
      </c>
      <c r="I302" s="31" t="n"/>
    </row>
    <row r="303">
      <c r="A303" s="30" t="n"/>
      <c r="B303" s="31" t="n"/>
      <c r="C303" s="31" t="n"/>
      <c r="D303" s="11" t="n"/>
      <c r="E303" s="11" t="n"/>
      <c r="F303" s="31" t="n"/>
      <c r="G303" s="32">
        <f>IF(OR(D303="",D303=0,E303=""),"",E303/D303)</f>
        <v/>
      </c>
      <c r="H303" s="33">
        <f>IF(E303="","",IF(E303&gt;0,"vinto",IF(E303&lt;0,"perso","pari")))</f>
        <v/>
      </c>
      <c r="I303" s="31" t="n"/>
    </row>
    <row r="304">
      <c r="A304" s="30" t="n"/>
      <c r="B304" s="31" t="n"/>
      <c r="C304" s="31" t="n"/>
      <c r="D304" s="11" t="n"/>
      <c r="E304" s="11" t="n"/>
      <c r="F304" s="31" t="n"/>
      <c r="G304" s="32">
        <f>IF(OR(D304="",D304=0,E304=""),"",E304/D304)</f>
        <v/>
      </c>
      <c r="H304" s="33">
        <f>IF(E304="","",IF(E304&gt;0,"vinto",IF(E304&lt;0,"perso","pari")))</f>
        <v/>
      </c>
      <c r="I304" s="31" t="n"/>
    </row>
  </sheetData>
  <dataValidations count="2">
    <dataValidation sqref="C5:C304" showDropDown="0" showInputMessage="0" showErrorMessage="0" allowBlank="1" type="list">
      <formula1>"long,short"</formula1>
    </dataValidation>
    <dataValidation sqref="F5:F304" showDropDown="0" showInputMessage="0" showErrorMessage="0" allowBlank="1" type="list">
      <formula1>"sì,no"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2026-10-16T06:33:15Z</dcterms:created>
  <dcterms:modified xmlns:dcterms="http://purl.org/dc/terms/" xmlns:xsi="http://www.w3.org/2001/XMLSchema-instance" xsi:type="dcterms:W3CDTF">2026-10-16T06:33:15Z</dcterms:modified>
</cp:coreProperties>
</file>